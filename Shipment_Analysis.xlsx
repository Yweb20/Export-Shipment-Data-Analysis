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4"/>
    <sheet state="visible" name="Sorted_Gateway_Second" sheetId="2" r:id="rId5"/>
    <sheet state="visible" name="Sorted_PORT_Status" sheetId="3" r:id="rId6"/>
    <sheet state="visible" name="Pivot_Port_Gateway" sheetId="4" r:id="rId7"/>
    <sheet state="visible" name="Pivot_Gateway_GST" sheetId="5" r:id="rId8"/>
    <sheet state="visible" name="Pivot_PORT_Status " sheetId="6" r:id="rId9"/>
  </sheets>
  <definedNames>
    <definedName localSheetId="2" name="GST_Compliance_Status">#REF!</definedName>
    <definedName localSheetId="2" name="GST_Compliance_Stauts">#REF!</definedName>
    <definedName name="GST_Compliance_Stauts">#REF!</definedName>
    <definedName localSheetId="1" name="GST_Compliance_Status">#REF!</definedName>
    <definedName name="GST_Compliance_Status">#REF!</definedName>
    <definedName localSheetId="1" name="GST_Compliance_Stauts">#REF!</definedName>
  </definedNames>
  <calcPr/>
  <pivotCaches>
    <pivotCache cacheId="0" r:id="rId10"/>
  </pivotCaches>
</workbook>
</file>

<file path=xl/sharedStrings.xml><?xml version="1.0" encoding="utf-8"?>
<sst xmlns="http://schemas.openxmlformats.org/spreadsheetml/2006/main" count="10508" uniqueCount="1984">
  <si>
    <t>PORT Code</t>
  </si>
  <si>
    <t>SB no</t>
  </si>
  <si>
    <t>SB date</t>
  </si>
  <si>
    <t>Details</t>
  </si>
  <si>
    <t>Current status</t>
  </si>
  <si>
    <t>EGM no</t>
  </si>
  <si>
    <t>ROSL</t>
  </si>
  <si>
    <t>GST</t>
  </si>
  <si>
    <t>Gateway</t>
  </si>
  <si>
    <t>GST_Compliance_Status</t>
  </si>
  <si>
    <t>Shipment_Type</t>
  </si>
  <si>
    <t>Port_Code</t>
  </si>
  <si>
    <t>Status_Priority</t>
  </si>
  <si>
    <t>SB_Year</t>
  </si>
  <si>
    <t>TUGLAKABAD ICD (INTKD6)</t>
  </si>
  <si>
    <t>2017/07/01</t>
  </si>
  <si>
    <t xml:space="preserve">IEC CHA No. Job No. Job Date Port of Discharge Total Package Gross Weight (Kg) FOB(INR) Total Cess (INR) Drawback STR Total (DBK+STR) CIN NO. CIN DT. Reward Flag
0597024561  AALFP3921GCH001  4320940  01 JUL 2017 12:07  USCHI  10  4135  1237814  0  24756  0  24756  N.A.  N.A.  Click here to view item wise reward details </t>
  </si>
  <si>
    <t xml:space="preserve">Current Que LEO Date EP Copy Print Status DBK Scroll No Scroll Date EGM Integration Status
HIST  12 JUL 2017 00:07  Y  21243/2017  28 AUG 2017 00:08  Y </t>
  </si>
  <si>
    <t xml:space="preserve">EGM No. EGM Date Container No. Seal No. Error Message
Z17061407  2017-7-14 0.0.0.0  OOCU6870924  394223  N.A. </t>
  </si>
  <si>
    <t xml:space="preserve">ROSL Availed Amount(INR) Scroll Number Scroll Date
N  0  ROSL NOT CLAIMED  ROSL NOT CLAIMED </t>
  </si>
  <si>
    <t xml:space="preserve">GSTIN    -    06AXXXXXXXXC1ZH
Invoice Number Invoice Date IGST Paid(INR)
XXXXXXXX-18  2017-06-30  24756 </t>
  </si>
  <si>
    <t xml:space="preserve">AWB No. Gateway Port Gateway EGM No. Gateway EGM Date Gateway Site ID Error Code
N.A.  INMUN1  137976  2017-11-01 00:00:00.0  INMUN1  S </t>
  </si>
  <si>
    <t xml:space="preserve">IEC CHA No. Job No. Job Date Port of Discharge Total Package Gross Weight (Kg) FOB(INR) Total Cess (INR) Drawback STR Total (DBK+STR) CIN NO. CIN DT. Reward Flag
0597024561  AALFP3921GCH001  4326197  01 JUL 2017 12:07  USCHI  4  786  356431.8  0  7129  0  7129  N.A.  N.A.  Click here to view item wise reward details </t>
  </si>
  <si>
    <t xml:space="preserve">Current Que LEO Date EP Copy Print Status DBK Scroll No Scroll Date EGM Integration Status
HIST  04 JUL 2017 00:07  Y  21243/2017  28 AUG 2017 00:08  Y </t>
  </si>
  <si>
    <t xml:space="preserve">EGM No. EGM Date Container No. Seal No. Error Message
R957660607  2017-7-6 0.0.0.0  TCNU3143079  393607  N.A. </t>
  </si>
  <si>
    <t xml:space="preserve">GSTIN    -    06AXXXXXXXXC1ZH
Invoice Number Invoice Date IGST Paid(INR)
XXXXXXXX-18  2017-06-30  7128 </t>
  </si>
  <si>
    <t xml:space="preserve">AWB No. Gateway Port Gateway EGM No. Gateway EGM Date Gateway Site ID Error Code
N.A.  INMUN1  131465  2017-07-14 00:00:00.0  INMUN1  S </t>
  </si>
  <si>
    <t>2017/07/06</t>
  </si>
  <si>
    <t xml:space="preserve">IEC CHA No. Job No. Job Date Port of Discharge Total Package Gross Weight (Kg) FOB(INR) Total Cess (INR) Drawback STR Total (DBK+STR) CIN NO. CIN DT. Reward Flag
0506074994  AMMPS0835PCH001  4432951  06 JUL 2017 12:07  SGSIN  212  9380.412  1068035.08  0  10638  0  10638  N.A.  N.A.  Click here to view item wise reward details </t>
  </si>
  <si>
    <t xml:space="preserve">Current Que LEO Date EP Copy Print Status DBK Scroll No Scroll Date EGM Integration Status
HIST  07 JUL 2017 00:07  Y  21243/2017  28 AUG 2017 00:08  Y </t>
  </si>
  <si>
    <t xml:space="preserve">EGM No. EGM Date Container No. Seal No. Error Message
R247461607  2017-7-16 0.0.0.0  SEGU6019208  394241  N.A. </t>
  </si>
  <si>
    <t xml:space="preserve">GSTIN    -    07AXXXXXXXXM1Z2
Invoice Number Invoice Date IGST Paid(INR)
XXXXXXXXXXX-18  2017-07-04  119771 </t>
  </si>
  <si>
    <t xml:space="preserve">AWB No. Gateway Port Gateway EGM No. Gateway EGM Date Gateway Site ID Error Code
N.A.  INNSA1  N.A.  N.A.  N.A.  N.A. </t>
  </si>
  <si>
    <t>2017/07/26</t>
  </si>
  <si>
    <t xml:space="preserve">IEC CHA No. Job No. Job Date Port of Discharge Total Package Gross Weight (Kg) FOB(INR) Total Cess (INR) Drawback STR Total (DBK+STR) CIN NO. CIN DT. Reward Flag
0505023954  AACFL6638BCH001  4917548  26 JUL 2017 12:07  THLCH  9  1095  444373  0  0  0  0  N.A.  N.A.  Click here to view item wise reward details </t>
  </si>
  <si>
    <t xml:space="preserve">Current Que LEO Date EP Copy Print Status DBK Scroll No Scroll Date EGM Integration Status
HIST  27 JUL 2017 00:07  R  N.A.  N.A.  Y </t>
  </si>
  <si>
    <t xml:space="preserve">EGM No. EGM Date Container No. Seal No. Error Message
R1817100108  2017-8-1 0.0.0.0  NYKU3719229  386464  N.A. </t>
  </si>
  <si>
    <t xml:space="preserve">ROSL Availed Amount(INR) Scroll Number Scroll Date
NULL  NULL  NULL  NULL </t>
  </si>
  <si>
    <t xml:space="preserve">GSTIN    -    06AXXXXXXXXJ1ZG
Invoice Number Invoice Date IGST Paid(INR)
XXXXXXXXXXX142  2017-07-24  48384 </t>
  </si>
  <si>
    <t xml:space="preserve">IEC CHA No. Job No. Job Date Port of Discharge Total Package Gross Weight (Kg) FOB(INR) Total Cess (INR) Drawback STR Total (DBK+STR) CIN NO. CIN DT. Reward Flag
0508003300  AHDPK8975CCH001  4932027  26 JUL 2017 12:07  NLRTM  10  3191  830072  0  16601  0  16601  N.A.  N.A.  Click here to view item wise reward details </t>
  </si>
  <si>
    <t xml:space="preserve">Current Que LEO Date EP Copy Print Status DBK Scroll No Scroll Date EGM Integration Status
HIST  28 JUL 2017 00:07  Y  21484/2017  07 SEP 2017 00:09  Y </t>
  </si>
  <si>
    <t xml:space="preserve">EGM No. EGM Date Container No. Seal No. Error Message
R237360308  2017-8-3 0.0.0.0  FCIU8411137  396483  N.A. </t>
  </si>
  <si>
    <t xml:space="preserve">GSTIN    -    06AXXXXXXXXH1ZO
Invoice Number Invoice Date IGST Paid(INR)
XXXXXXXXXXXX-18  2017-07-17  149412 </t>
  </si>
  <si>
    <t xml:space="preserve">AWB No. Gateway Port Gateway EGM No. Gateway EGM Date Gateway Site ID Error Code
N.A.  INNSA1  132025  2017-07-24 00:00:00.0  INNSA1  S </t>
  </si>
  <si>
    <t>2017/07/27</t>
  </si>
  <si>
    <t xml:space="preserve">IEC CHA No. Job No. Job Date Port of Discharge Total Package Gross Weight (Kg) FOB(INR) Total Cess (INR) Drawback STR Total (DBK+STR) CIN NO. CIN DT. Reward Flag
0596009488  ADFFS3281FCH001  4939510  27 JUL 2017 12:07  USOKD  1859  16630  8675968.81  0  94833  0  94833  N.A.  N.A.  Click here to view item wise reward details </t>
  </si>
  <si>
    <t xml:space="preserve">Current Que LEO Date EP Copy Print Status DBK Scroll No Scroll Date EGM Integration Status
HIST  28 JUL 2017 00:07  Y  22528/2017  10 NOV 2017 00:11  Y </t>
  </si>
  <si>
    <t xml:space="preserve">EGM No. EGM Date Container No. Seal No. Error Message
R857522807  2017-7-28 0.0.0.0  TCLU8863794  395965  N.A. </t>
  </si>
  <si>
    <t xml:space="preserve">GSTIN    -    09AXXXXXXXXC1Z4
Invoice Number Invoice Date IGST Paid(INR)
XXXXXXXXXXXXXX-18  2017-07-13  433793 </t>
  </si>
  <si>
    <t xml:space="preserve">AWB No. Gateway Port Gateway EGM No. Gateway EGM Date Gateway Site ID Error Code
N.A.  INMUN1  132702  2017-08-04 00:00:00.0  INMUN1  S </t>
  </si>
  <si>
    <t xml:space="preserve">IEC CHA No. Job No. Job Date Port of Discharge Total Package Gross Weight (Kg) FOB(INR) Total Cess (INR) Drawback STR Total (DBK+STR) CIN NO. CIN DT. Reward Flag
0506070484  AATPS3087NCH001  4955812  27 JUL 2017 12:07  VNSGN  26  5364.2  514985  0  0  0  0  N.A.  N.A.  Click here to view item wise reward details </t>
  </si>
  <si>
    <t xml:space="preserve">Current Que LEO Date EP Copy Print Status DBK Scroll No Scroll Date EGM Integration Status
HIST  31 JUL 2017 00:07  Y  N.A.  N.A.  Y </t>
  </si>
  <si>
    <t xml:space="preserve">EGM No. EGM Date Container No. Seal No. Error Message
J187520408  2017-8-4 0.0.0.0  BMOU2608183  397312  N.A. </t>
  </si>
  <si>
    <t xml:space="preserve">GSTIN    -    06AXXXXXXXXL1ZE
Invoice Number Invoice Date IGST Paid(INR)
XXXXX/16  2017-07-27  145084 </t>
  </si>
  <si>
    <t xml:space="preserve">IEC CHA No. Job No. Job Date Port of Discharge Total Package Gross Weight (Kg) FOB(INR) Total Cess (INR) Drawback STR Total (DBK+STR) CIN NO. CIN DT. Reward Flag
0514019492  AABCS7195NCH001  4957545  27 JUL 2017 12:07  FIRAU  2  250  224989.94  0  902  0  902  N.A.  N.A.  Click here to view item wise reward details </t>
  </si>
  <si>
    <t xml:space="preserve">Current Que LEO Date EP Copy Print Status DBK Scroll No Scroll Date EGM Integration Status
HIST  29 JUL 2017 00:07  Y  21484/2017  07 SEP 2017 00:09  Y </t>
  </si>
  <si>
    <t xml:space="preserve">EGM No. EGM Date Container No. Seal No. Error Message
T757460308  2017-8-3 0.0.0.0  CBHU9524016  397314  N.A. </t>
  </si>
  <si>
    <t xml:space="preserve">GSTIN    -    06AXXXXXXXXH2ZJ
Invoice Number Invoice Date IGST Paid(INR)
XXXXXXXXX/18  2017-07-18  26869 </t>
  </si>
  <si>
    <t xml:space="preserve">AWB No. Gateway Port Gateway EGM No. Gateway EGM Date Gateway Site ID Error Code
N.A.  INMUN1  134053  2017-08-28 00:00:00.0  INMUN1  ST </t>
  </si>
  <si>
    <t xml:space="preserve">IEC CHA No. Job No. Job Date Port of Discharge Total Package Gross Weight (Kg) FOB(INR) Total Cess (INR) Drawback STR Total (DBK+STR) CIN NO. CIN DT. Reward Flag
0508003300  AHDPK8975CCH001  4958843  27 JUL 2017 12:07  SGSIN  6  2187  444246  0  8885  0  8885  N.A.  N.A.  Click here to view item wise reward details </t>
  </si>
  <si>
    <t xml:space="preserve">EGM No. EGM Date Container No. Seal No. Error Message
T957180208  2017-8-2 0.0.0.0  NYKU5798417  396296  N.A. </t>
  </si>
  <si>
    <t xml:space="preserve">GSTIN    -    06AXXXXXXXXH1ZO
Invoice Number Invoice Date IGST Paid(INR)
XXXXXXXXXXXX-18  2017-07-25  79964 </t>
  </si>
  <si>
    <t xml:space="preserve">AWB No. Gateway Port Gateway EGM No. Gateway EGM Date Gateway Site ID Error Code
N.A.  INNSA1  131685  2017-07-18 00:00:00.0  INNSA1  S </t>
  </si>
  <si>
    <t xml:space="preserve">IEC CHA No. Job No. Job Date Port of Discharge Total Package Gross Weight (Kg) FOB(INR) Total Cess (INR) Drawback STR Total (DBK+STR) CIN NO. CIN DT. Reward Flag
0508003300  AHDPK8975CCH001  4958864  27 JUL 2017 12:07  SGSIN  38  18164  3836670  0  76733  0  76733  N.A.  N.A.  Click here to view item wise reward details </t>
  </si>
  <si>
    <t xml:space="preserve">GSTIN    -    06AXXXXXXXXH1ZO
Invoice Number Invoice Date IGST Paid(INR)
XXXXXXXXXXXX-18  2017-07-25  690600 </t>
  </si>
  <si>
    <t xml:space="preserve">IEC CHA No. Job No. Job Date Port of Discharge Total Package Gross Weight (Kg) FOB(INR) Total Cess (INR) Drawback STR Total (DBK+STR) CIN NO. CIN DT. Reward Flag
0508003300  AHDPK8975CCH001  4959794  27 JUL 2017 12:07  SGSIN  45  24734  7984172.5  0  159683  0  159683  N.A.  N.A.  Click here to view item wise reward details </t>
  </si>
  <si>
    <t xml:space="preserve">EGM No. EGM Date Container No. Seal No. Error Message
R777360308  2017-8-3 0.0.0.0  NYKU4725340  396275  N.A. </t>
  </si>
  <si>
    <t xml:space="preserve">GSTIN    -    06AXXXXXXXXH1ZO
Invoice Number Invoice Date IGST Paid(INR)
XXXXXXXXXXXX-18  2017-07-25  1437149 </t>
  </si>
  <si>
    <t>2017/07/28</t>
  </si>
  <si>
    <t xml:space="preserve">IEC CHA No. Job No. Job Date Port of Discharge Total Package Gross Weight (Kg) FOB(INR) Total Cess (INR) Drawback STR Total (DBK+STR) CIN NO. CIN DT. Reward Flag
0513056661  AHEPG6607LCH001  4964475  28 JUL 2017 12:07  ALDRZ  194  9553.6  1221257.4  0  52787  0  52787  N.A.  N.A.  Click here to view item wise reward details </t>
  </si>
  <si>
    <t xml:space="preserve">Current Que LEO Date EP Copy Print Status DBK Scroll No Scroll Date EGM Integration Status
HIST  31 JUL 2017 00:07  Y  22032/2017  06 OCT 2017 00:10  Y </t>
  </si>
  <si>
    <t xml:space="preserve">EGM No. EGM Date Container No. Seal No. Error Message
J187520408  2017-8-4 0.0.0.0  IPXU3207943  397043  N.A. </t>
  </si>
  <si>
    <t xml:space="preserve">GSTIN    -    07DXXXXXXXXB1ZH
Invoice Number Invoice Date IGST Paid(INR)
XXXXXXXXX/01  2017-07-24  354254 </t>
  </si>
  <si>
    <t xml:space="preserve">IEC CHA No. Job No. Job Date Port of Discharge Total Package Gross Weight (Kg) FOB(INR) Total Cess (INR) Drawback STR Total (DBK+STR) CIN NO. CIN DT. Reward Flag
0593058577  ADWPT4152FCH001  4967401  28 JUL 2017 12:07  BEANR  8  7650  1567732  0  31355  0  31355  N.A.  N.A.  Click here to view item wise reward details </t>
  </si>
  <si>
    <t xml:space="preserve">Current Que LEO Date EP Copy Print Status DBK Scroll No Scroll Date EGM Integration Status
HIST  31 JUL 2017 00:07  Y  21484/2017  07 SEP 2017 00:09  Y </t>
  </si>
  <si>
    <t xml:space="preserve">EGM No. EGM Date Container No. Seal No. Error Message
T967140708  2017-8-7 0.0.0.0  CRSU1370710  397366  N.A. </t>
  </si>
  <si>
    <t xml:space="preserve">GSTIN    -    06AXXXXXXXXK1ZT
Invoice Number Invoice Date IGST Paid(INR)
XXXXXXXXXXXX002  2017-07-24  129600 </t>
  </si>
  <si>
    <t xml:space="preserve">IEC CHA No. Job No. Job Date Port of Discharge Total Package Gross Weight (Kg) FOB(INR) Total Cess (INR) Drawback STR Total (DBK+STR) CIN NO. CIN DT. Reward Flag
0516929674  AAJPA1764ECH001  4981455  28 JUL 2017 12:07  AEJEA  1105  12723  3580704.04  0  53711  0  53711  N.A.  N.A.  Click here to view item wise reward details </t>
  </si>
  <si>
    <t xml:space="preserve">Current Que LEO Date EP Copy Print Status DBK Scroll No Scroll Date EGM Integration Status
HIST  02 AUG 2017 00:08  Y  21484/2017  07 SEP 2017 00:09  Y </t>
  </si>
  <si>
    <t xml:space="preserve">EGM No. EGM Date Container No. Seal No. Error Message
R627900608  2017-8-6 0.0.0.0  ESPU8041896  397273  N.A. </t>
  </si>
  <si>
    <t xml:space="preserve">GSTIN    -    06AXXXXXXXXK1Z7
Invoice Number Invoice Date IGST Paid(INR)
006  2017-07-27  647383 </t>
  </si>
  <si>
    <t xml:space="preserve">AWB No. Gateway Port Gateway EGM No. Gateway EGM Date Gateway Site ID Error Code
N.A.  INNSA1  132629  2017-08-03 00:00:00.0  INNSA1  S </t>
  </si>
  <si>
    <t>2017/07/29</t>
  </si>
  <si>
    <t xml:space="preserve">IEC CHA No. Job No. Job Date Port of Discharge Total Package Gross Weight (Kg) FOB(INR) Total Cess (INR) Drawback STR Total (DBK+STR) CIN NO. CIN DT. Reward Flag
0506046231  ADFFS3281FCH001  5012821  29 JUL 2017 12:07  GBTEE  22  22672  1792796.58  0  26892  0  26892  N.A.  N.A.  Click here to view item wise reward details </t>
  </si>
  <si>
    <t xml:space="preserve">Current Que LEO Date EP Copy Print Status DBK Scroll No Scroll Date EGM Integration Status
HIST  01 AUG 2017 00:08  Y  29620/2018  13 SEP 2018 00:09  Y </t>
  </si>
  <si>
    <t xml:space="preserve">EGM No. EGM Date Container No. Seal No. Error Message
J187520408  2017-8-4 0.0.0.0  TCNU8236209  009265  N.A. </t>
  </si>
  <si>
    <t xml:space="preserve">GSTIN    -    06AXXXXXXXXQ1ZC
Invoice Number Invoice Date IGST Paid(INR)
XXXXXXXXXXX/09  2017-07-29  249841 </t>
  </si>
  <si>
    <t xml:space="preserve">AWB No. Gateway Port Gateway EGM No. Gateway EGM Date Gateway Site ID Error Code
N.A.  INNSA1  132146  2017-07-26 00:00:00.0  INNSA1  S </t>
  </si>
  <si>
    <t xml:space="preserve">IEC CHA No. Job No. Job Date Port of Discharge Total Package Gross Weight (Kg) FOB(INR) Total Cess (INR) Drawback STR Total (DBK+STR) CIN NO. CIN DT. Reward Flag
0591026007  AHDPK8975CCH001  5014940  29 JUL 2017 12:07  USCHI  11  6695.87  876541.3  0  17199  0  17199  N.A.  N.A.  Click here to view item wise reward details </t>
  </si>
  <si>
    <t xml:space="preserve">Current Que LEO Date EP Copy Print Status DBK Scroll No Scroll Date EGM Integration Status
HIST  04 AUG 2017 00:08  Y  21593/2017  12 SEP 2017 00:09  Y </t>
  </si>
  <si>
    <t xml:space="preserve">EGM No. EGM Date Container No. Seal No. Error Message
R187761108  2017-8-11 0.0.0.0  IALU2255050  398038  N.A. </t>
  </si>
  <si>
    <t xml:space="preserve">GSTIN    -    09AXXXXXXXXC2Z0
Invoice Number Invoice Date IGST Paid(INR)
XXXXXXXXXXXXXX7-1  2017-07-10  53663 </t>
  </si>
  <si>
    <t xml:space="preserve">AWB No. Gateway Port Gateway EGM No. Gateway EGM Date Gateway Site ID Error Code
N.A.  INNSA1  132431  2017-07-31 00:00:00.0  INNSA1  S </t>
  </si>
  <si>
    <t>2017/07/31</t>
  </si>
  <si>
    <t xml:space="preserve">IEC CHA No. Job No. Job Date Port of Discharge Total Package Gross Weight (Kg) FOB(INR) Total Cess (INR) Drawback STR Total (DBK+STR) CIN NO. CIN DT. Reward Flag
0500016143  AEAPD9155RCH001  5026572  31 JUL 2017 12:07  DEHAM  78  1938  477658.43  0  6592  0  6592  N.A.  N.A.  Click here to view item wise reward details </t>
  </si>
  <si>
    <t xml:space="preserve">Current Que LEO Date EP Copy Print Status DBK Scroll No Scroll Date EGM Integration Status
HIST  03 AUG 2017 00:08  Y  21593/2017  12 SEP 2017 00:09  Y </t>
  </si>
  <si>
    <t xml:space="preserve">EGM No. EGM Date Container No. Seal No. Error Message
R757581008  2017-8-10 0.0.0.0  GESU5984802  398012  N.A. </t>
  </si>
  <si>
    <t xml:space="preserve">GSTIN    -    07AXXXXXXXXE1Z5
Invoice Number Invoice Date IGST Paid(INR)
681  2017-07-22  78589 </t>
  </si>
  <si>
    <t xml:space="preserve">IEC CHA No. Job No. Job Date Port of Discharge Total Package Gross Weight (Kg) FOB(INR) Total Cess (INR) Drawback STR Total (DBK+STR) CIN NO. CIN DT. Reward Flag
1308012381  AADCS9253MCH002  5035989  31 JUL 2017 12:07  DEHAM  72  6232  7004230.27  0  140085  0  140085  N.A.  N.A.  Click here to view item wise reward details </t>
  </si>
  <si>
    <t xml:space="preserve">EGM No. EGM Date Container No. Seal No. Error Message
T857300308  2017-8-3 0.0.0.0  FCIU2829217  014230  N.A. </t>
  </si>
  <si>
    <t xml:space="preserve">GSTIN    -    08AXXXXXXXXR1ZR
Invoice Number Invoice Date IGST Paid(INR)
XXXXXXXXXXXXXX078  2017-07-24  1961181 </t>
  </si>
  <si>
    <t xml:space="preserve">AWB No. Gateway Port Gateway EGM No. Gateway EGM Date Gateway Site ID Error Code
N.A.  INMUN1  134637  2017-09-06 00:00:00.0  INMUN1  S </t>
  </si>
  <si>
    <t xml:space="preserve">IEC CHA No. Job No. Job Date Port of Discharge Total Package Gross Weight (Kg) FOB(INR) Total Cess (INR) Drawback STR Total (DBK+STR) CIN NO. CIN DT. Reward Flag
0588055964  AAICS8856RCH001  5042770  31 JUL 2017 12:07  AUMEL  1  87  196215  0  3924  0  3924  N.A.  N.A.  Click here to view item wise reward details </t>
  </si>
  <si>
    <t xml:space="preserve">Current Que LEO Date EP Copy Print Status DBK Scroll No Scroll Date EGM Integration Status
HIST  02 AUG 2017 00:08  Y  21593/2017  12 SEP 2017 00:09  Y </t>
  </si>
  <si>
    <t xml:space="preserve">EGM No. EGM Date Container No. Seal No. Error Message
R757581008  2017-8-10 0.0.0.0  VSTU9000189  398018  N.A. </t>
  </si>
  <si>
    <t xml:space="preserve">GSTIN    -    07AXXXXXXXXQ1ZK
Invoice Number Invoice Date IGST Paid(INR)
X/26  2017-07-31  35661 </t>
  </si>
  <si>
    <t xml:space="preserve">AWB No. Gateway Port Gateway EGM No. Gateway EGM Date Gateway Site ID Error Code
N.A.  INNSA1  133033  2017-08-10 00:00:00.0  INNSA1  C </t>
  </si>
  <si>
    <t xml:space="preserve">IEC CHA No. Job No. Job Date Port of Discharge Total Package Gross Weight (Kg) FOB(INR) Total Cess (INR) Drawback STR Total (DBK+STR) CIN NO. CIN DT. Reward Flag
3306001678  AMEPS4194BCH001  5046037  31 JUL 2017 12:07  GBFXT  23  13328  6578725.36  0  28470  0  28470  N.A.  N.A.  Click here to view item wise reward details </t>
  </si>
  <si>
    <t xml:space="preserve">Current Que LEO Date EP Copy Print Status DBK Scroll No Scroll Date EGM Integration Status
HIST  04 AUG 2017 00:08  Y  21484/2017  07 SEP 2017 00:09  Y </t>
  </si>
  <si>
    <t xml:space="preserve">EGM No. EGM Date Container No. Seal No. Error Message
R627900608  2017-8-6 0.0.0.0  TCLU5214235  397616  N.A. </t>
  </si>
  <si>
    <t xml:space="preserve">GSTIN    -    06AXXXXXXXXG1ZX
Invoice Number Invoice Date IGST Paid(INR)
XXXXXXXXXXXXXX001  2017-07-28  14574 </t>
  </si>
  <si>
    <t>Please Wait....</t>
  </si>
  <si>
    <t>2017/08/01</t>
  </si>
  <si>
    <t xml:space="preserve">IEC CHA No. Job No. Job Date Port of Discharge Total Package Gross Weight (Kg) FOB(INR) Total Cess (INR) Drawback STR Total (DBK+STR) CIN NO. CIN DT. Reward Flag
0517528762  AHFPR4981HCH001  5068904  01 AUG 2017 12:08  KWKWI  97  2782.53  3348526.5  0  254777  0  254777  N.A.  N.A.  Click here to view item wise reward details </t>
  </si>
  <si>
    <t xml:space="preserve">Current Que LEO Date EP Copy Print Status DBK Scroll No Scroll Date EGM Integration Status
HIST  03 AUG 2017 00:08  Y  21652/2017  14 SEP 2017 00:09  Y </t>
  </si>
  <si>
    <t xml:space="preserve">EGM No. EGM Date Container No. Seal No. Error Message
R467841108  2017-8-11 0.0.0.0  PCIU8208557  398061  N.A. </t>
  </si>
  <si>
    <t xml:space="preserve">ROSL Availed Amount(INR) Scroll Number Scroll Date
Y  109868  25635/2017  2017-9-15 0.0.0.0 </t>
  </si>
  <si>
    <t xml:space="preserve">GSTIN    -    07AXXXXXXXXF1Z8
Invoice Number Invoice Date IGST Paid(INR)
XXXXXX001  2017-08-01  167681 </t>
  </si>
  <si>
    <t xml:space="preserve">AWB No. Gateway Port Gateway EGM No. Gateway EGM Date Gateway Site ID Error Code
N.A.  INNSA1  169501  2019-03-29 00:00:00.0  INNSA1  S </t>
  </si>
  <si>
    <t xml:space="preserve">IEC CHA No. Job No. Job Date Port of Discharge Total Package Gross Weight (Kg) FOB(INR) Total Cess (INR) Drawback STR Total (DBK+STR) CIN NO. CIN DT. Reward Flag
0509037844  AGYPS4804QCH001  5074148  01 AUG 2017 12:08  AUSYD  1  140  140970  0  8459  0  8459  N.A.  N.A.  Click here to view item wise reward details </t>
  </si>
  <si>
    <t xml:space="preserve">EGM No. EGM Date Container No. Seal No. Error Message
R757581008  2017-8-10 0.0.0.0  GESU4903350  398031  N.A. </t>
  </si>
  <si>
    <t xml:space="preserve">GSTIN    -    09AXXXXXXXXK2ZT
Invoice Number Invoice Date IGST Paid(INR)
37  2017-07-31  25718 </t>
  </si>
  <si>
    <t xml:space="preserve">AWB No. Gateway Port Gateway EGM No. Gateway EGM Date Gateway Site ID Error Code
N.A.  INNSA1  132812  2017-08-07 00:00:00.0  INNSA1  C </t>
  </si>
  <si>
    <t xml:space="preserve">IEC CHA No. Job No. Job Date Port of Discharge Total Package Gross Weight (Kg) FOB(INR) Total Cess (INR) Drawback STR Total (DBK+STR) CIN NO. CIN DT. Reward Flag
0596061315  AABCC8115GCH002  5078635  01 AUG 2017 12:08  AEJEA  181  2440  740254.43  0  30293  0  30293  N.A.  N.A.  Click here to view item wise reward details </t>
  </si>
  <si>
    <t xml:space="preserve">EGM No. EGM Date Container No. Seal No. Error Message
T587961208  2017-8-12 0.0.0.0  VMLU3602131  398041  N.A. </t>
  </si>
  <si>
    <t xml:space="preserve">GSTIN    -    07AXXXXXXXXM1ZP
Invoice Number Invoice Date IGST Paid(INR)
XXXX265  2017-08-01  16847 </t>
  </si>
  <si>
    <t>2017/08/02</t>
  </si>
  <si>
    <t xml:space="preserve">IEC CHA No. Job No. Job Date Port of Discharge Total Package Gross Weight (Kg) FOB(INR) Total Cess (INR) Drawback STR Total (DBK+STR) CIN NO. CIN DT. Reward Flag
0598005498  AANCS5422NCH004  5087233  02 AUG 2017 12:08  MACAS  220  3609.59  452450.2  0  7418  0  7418  N.A.  N.A.  Click here to view item wise reward details </t>
  </si>
  <si>
    <t xml:space="preserve">Current Que LEO Date EP Copy Print Status DBK Scroll No Scroll Date EGM Integration Status
HIST  10 AUG 2017 00:08  Y  21593/2017  12 SEP 2017 00:09  Y </t>
  </si>
  <si>
    <t xml:space="preserve">EGM No. EGM Date Container No. Seal No. Error Message
T857661708  2017-8-17 0.0.0.0  MRKU7285779  398326  N.A. </t>
  </si>
  <si>
    <t xml:space="preserve">GSTIN    -    07AXXXXXXXXL1ZI
Invoice Number Invoice Date IGST Paid(INR)
XXXXXXX017  2017-07-03  66431 </t>
  </si>
  <si>
    <t xml:space="preserve">AWB No. Gateway Port Gateway EGM No. Gateway EGM Date Gateway Site ID Error Code
N.A.  INPAV1  132210  2017-07-26 00:00:00.0  INPAV1  S </t>
  </si>
  <si>
    <t xml:space="preserve">IEC CHA No. Job No. Job Date Port of Discharge Total Package Gross Weight (Kg) FOB(INR) Total Cess (INR) Drawback STR Total (DBK+STR) CIN NO. CIN DT. Reward Flag
0596009488  ADFFS3281FCH001  5092423  02 AUG 2017 12:08  ITSPE  1004  7676.556  6205570.52  0  55644  0  55644  N.A.  N.A.  Click here to view item wise reward details </t>
  </si>
  <si>
    <t xml:space="preserve">EGM No. EGM Date Container No. Seal No. Error Message
T887020608  2017-8-6 0.0.0.0  CSLU2276080  396967  N.A. </t>
  </si>
  <si>
    <t xml:space="preserve">GSTIN    -    09AXXXXXXXXC1Z4
Invoice Number Invoice Date IGST Paid(INR)
XXXXXXXXXXXXXX-18  2017-07-15  310271 </t>
  </si>
  <si>
    <t xml:space="preserve">AWB No. Gateway Port Gateway EGM No. Gateway EGM Date Gateway Site ID Error Code
N.A.  INNSA1  132737  2017-08-04 00:00:00.0  INNSA1  S </t>
  </si>
  <si>
    <t xml:space="preserve">IEC CHA No. Job No. Job Date Port of Discharge Total Package Gross Weight (Kg) FOB(INR) Total Cess (INR) Drawback STR Total (DBK+STR) CIN NO. CIN DT. Reward Flag
0596009488  ADFFS3281FCH001  5092762  02 AUG 2017 12:08  ITSPE  1346  14240  9617899.87  0  91490  0  91490  N.A.  N.A.  Click here to view item wise reward details </t>
  </si>
  <si>
    <t xml:space="preserve">Current Que LEO Date EP Copy Print Status DBK Scroll No Scroll Date EGM Integration Status
HIST  03 AUG 2017 00:08  Y  21484/2017  07 SEP 2017 00:09  Y </t>
  </si>
  <si>
    <t xml:space="preserve">EGM No. EGM Date Container No. Seal No. Error Message
T887020608  2017-8-6 0.0.0.0  CCLU5302047  396980  N.A. </t>
  </si>
  <si>
    <t xml:space="preserve">GSTIN    -    09AXXXXXXXXC1Z4
Invoice Number Invoice Date IGST Paid(INR)
XXXXXXXXXXXXXX-18  2017-07-15  436205 </t>
  </si>
  <si>
    <t xml:space="preserve">AWB No. Gateway Port Gateway EGM No. Gateway EGM Date Gateway Site ID Error Code
N.A.  INNSA1  132731  2017-08-04 00:00:00.0  INNSA1  S </t>
  </si>
  <si>
    <t xml:space="preserve">IEC CHA No. Job No. Job Date Port of Discharge Total Package Gross Weight (Kg) FOB(INR) Total Cess (INR) Drawback STR Total (DBK+STR) CIN NO. CIN DT. Reward Flag
0609003542  AOFPS8466PCH001  5102223  02 AUG 2017 12:08  AUSYD  162  2999  782675.6  0  11740  0  11740  N.A.  N.A.  Click here to view item wise reward details </t>
  </si>
  <si>
    <t xml:space="preserve">Current Que LEO Date EP Copy Print Status DBK Scroll No Scroll Date EGM Integration Status
HIST  11 AUG 2017 00:08  Y  21593/2017  12 SEP 2017 00:09  Y </t>
  </si>
  <si>
    <t xml:space="preserve">EGM No. EGM Date Container No. Seal No. Error Message
R797122008  2017-8-20 0.0.0.0  RFSU2002442  398692  N.A. </t>
  </si>
  <si>
    <t xml:space="preserve">GSTIN    -    09AXXXXXXXXC1ZR
Invoice Number Invoice Date IGST Paid(INR)
62  2017-07-31  293987 </t>
  </si>
  <si>
    <t xml:space="preserve">AWB No. Gateway Port Gateway EGM No. Gateway EGM Date Gateway Site ID Error Code
N.A.  INNSA1  133243  2017-08-14 00:00:00.0  INNSA1  C </t>
  </si>
  <si>
    <t xml:space="preserve">IEC CHA No. Job No. Job Date Port of Discharge Total Package Gross Weight (Kg) FOB(INR) Total Cess (INR) Drawback STR Total (DBK+STR) CIN NO. CIN DT. Reward Flag
0510011683  AACFS5709ACH001  5103496  02 AUG 2017 12:08  GBSOU  18  432  62871.2  0  0  0  0  N.A.  N.A.  Click here to view item wise reward details </t>
  </si>
  <si>
    <t xml:space="preserve">Current Que LEO Date EP Copy Print Status DBK Scroll No Scroll Date EGM Integration Status
HIST  10 AUG 2017 00:08  Y  N.A.  N.A.  Y </t>
  </si>
  <si>
    <t xml:space="preserve">EGM No. EGM Date Container No. Seal No. Error Message
T757422208  2017-8-22 0.0.0.0  MSKU5798590  399514  N.A. </t>
  </si>
  <si>
    <t xml:space="preserve">GSTIN    -    07AXXXXXXXXA1ZA
Invoice Number Invoice Date IGST Paid(INR)
XXXXXXXXXX-18  2017-07-25  5502 </t>
  </si>
  <si>
    <t xml:space="preserve">AWB No. Gateway Port Gateway EGM No. Gateway EGM Date Gateway Site ID Error Code
N.A.  INMUN1  134015  2017-08-28 00:00:00.0  INMUN1  S </t>
  </si>
  <si>
    <t xml:space="preserve">IEC CHA No. Job No. Job Date Port of Discharge Total Package Gross Weight (Kg) FOB(INR) Total Cess (INR) Drawback STR Total (DBK+STR) CIN NO. CIN DT. Reward Flag
0510056601  AARPM0995PCH001  5107926  02 AUG 2017 12:08  THLCH  1  880  625475  0  3320  0  3320  N.A.  N.A.  Click here to view item wise reward details </t>
  </si>
  <si>
    <t xml:space="preserve">EGM No. EGM Date Container No. Seal No. Error Message
R757581008  2017-8-10 0.0.0.0  TCKU9945570  397386  N.A. </t>
  </si>
  <si>
    <t xml:space="preserve">GSTIN    -    08AXXXXXXXXR1Z1
Invoice Number Invoice Date IGST Paid(INR)
XXXXXXXXXXXXXX008  2017-07-31  112585 </t>
  </si>
  <si>
    <t xml:space="preserve">IEC CHA No. Job No. Job Date Port of Discharge Total Package Gross Weight (Kg) FOB(INR) Total Cess (INR) Drawback STR Total (DBK+STR) CIN NO. CIN DT. Reward Flag
0502021373  AAHCR2213ACH001  5112426  02 AUG 2017 12:08  CAMTR  8  80.465  483006.4  0  7245  0  7245  N.A.  N.A.  Click here to view item wise reward details </t>
  </si>
  <si>
    <t xml:space="preserve">Current Que LEO Date EP Copy Print Status DBK Scroll No Scroll Date EGM Integration Status
HIST  05 AUG 2017 00:08  Y  21593/2017  12 SEP 2017 00:09  Y </t>
  </si>
  <si>
    <t xml:space="preserve">EGM No. EGM Date Container No. Seal No. Error Message
R847681008  2017-8-10 0.0.0.0  THLU2130227  398013  N.A. </t>
  </si>
  <si>
    <t xml:space="preserve">GSTIN    -    07AXXXXXXXXR1ZH
Invoice Number Invoice Date IGST Paid(INR)
XXXXXXXXXX018  2017-07-27  135238 </t>
  </si>
  <si>
    <t xml:space="preserve">AWB No. Gateway Port Gateway EGM No. Gateway EGM Date Gateway Site ID Error Code
N.A.  INNSA1  132481  2017-07-31 00:00:00.0  INNSA1  C </t>
  </si>
  <si>
    <t>2017/08/03</t>
  </si>
  <si>
    <t xml:space="preserve">IEC CHA No. Job No. Job Date Port of Discharge Total Package Gross Weight (Kg) FOB(INR) Total Cess (INR) Drawback STR Total (DBK+STR) CIN NO. CIN DT. Reward Flag
0507051360  AAAFJ1721HCH058  5122783  03 AUG 2017 12:08  THBKK  1  150  189503.05  0  3790  0  3790  N.A.  N.A.  Click here to view item wise reward details </t>
  </si>
  <si>
    <t xml:space="preserve">EGM No. EGM Date Container No. Seal No. Error Message
T587961208  2017-8-12 0.0.0.0  ZCSU2559071  398088  N.A. </t>
  </si>
  <si>
    <t xml:space="preserve">GSTIN    -    06AXXXXXXXXR2ZO
Invoice Number Invoice Date IGST Paid(INR)
XXXXXXXXXXXXX/17  2017-08-01  53596 </t>
  </si>
  <si>
    <t xml:space="preserve">AWB No. Gateway Port Gateway EGM No. Gateway EGM Date Gateway Site ID Error Code
N.A.  INNSA1  133033  2017-08-10 00:00:00.0  INNSA1  S </t>
  </si>
  <si>
    <t xml:space="preserve">IEC CHA No. Job No. Job Date Port of Discharge Total Package Gross Weight (Kg) FOB(INR) Total Cess (INR) Drawback STR Total (DBK+STR) CIN NO. CIN DT. Reward Flag
0515042064  AFYPK1878FCH001  5125414  03 AUG 2017 12:08  HUBUD  60  725.8  365633  0  3182  0  3182  N.A.  N.A.  Click here to view item wise reward details </t>
  </si>
  <si>
    <t xml:space="preserve">Current Que LEO Date EP Copy Print Status DBK Scroll No Scroll Date EGM Integration Status
HIST  08 AUG 2017 00:08  Y  21652/2017  14 SEP 2017 00:09  Y </t>
  </si>
  <si>
    <t xml:space="preserve">EGM No. EGM Date Container No. Seal No. Error Message
R347041908  2017-8-19 0.0.0.0  TCNU4953686  398681  N.A. </t>
  </si>
  <si>
    <t xml:space="preserve">GSTIN    -    07AXXXXXXXXK1ZB
Invoice Number Invoice Date IGST Paid(INR)
XXXXXXXXXX-18  2017-08-03  28865 </t>
  </si>
  <si>
    <t xml:space="preserve">AWB No. Gateway Port Gateway EGM No. Gateway EGM Date Gateway Site ID Error Code
N.A.  INNSA1  132991  2017-08-09 00:00:00.0  INNSA1  S </t>
  </si>
  <si>
    <t xml:space="preserve">IEC CHA No. Job No. Job Date Port of Discharge Total Package Gross Weight (Kg) FOB(INR) Total Cess (INR) Drawback STR Total (DBK+STR) CIN NO. CIN DT. Reward Flag
0592023052  AABCG4164HCH003  5126864  03 AUG 2017 12:08  RULED  30  14280  2553209.65  0  51064  0  51064  N.A.  N.A.  Click here to view item wise reward details </t>
  </si>
  <si>
    <t xml:space="preserve">Current Que LEO Date EP Copy Print Status DBK Scroll No Scroll Date EGM Integration Status
HIST  05 AUG 2017 00:08  Y  21484/2017  07 SEP 2017 00:09  Y </t>
  </si>
  <si>
    <t xml:space="preserve">EGM No. EGM Date Container No. Seal No. Error Message
T747880608  2017-8-6 0.0.0.0  MSKU8535597  015881  N.A. </t>
  </si>
  <si>
    <t xml:space="preserve">GSTIN    -    06AXXXXXXXXE4ZU
Invoice Number Invoice Date IGST Paid(INR)
XXXXXXXXXXXXXX-18  2017-08-01  3268108 </t>
  </si>
  <si>
    <t xml:space="preserve">AWB No. Gateway Port Gateway EGM No. Gateway EGM Date Gateway Site ID Error Code
N.A.  INPAV1  132205  2017-07-26 00:00:00.0  INPAV1  S </t>
  </si>
  <si>
    <t xml:space="preserve">IEC CHA No. Job No. Job Date Port of Discharge Total Package Gross Weight (Kg) FOB(INR) Total Cess (INR) Drawback STR Total (DBK+STR) CIN NO. CIN DT. Reward Flag
0509007406  AUHPS0698FCH002  5127639  03 AUG 2017 12:08  AUSYD  29  310  557479.94  0  40907  0  40907  N.A.  N.A.  Click here to view item wise reward details </t>
  </si>
  <si>
    <t xml:space="preserve">Current Que LEO Date EP Copy Print Status DBK Scroll No Scroll Date EGM Integration Status
HIST  08 AUG 2017 00:08  Y  21593/2017  12 SEP 2017 00:09  Y </t>
  </si>
  <si>
    <t xml:space="preserve">ROSL Availed Amount(INR) Scroll Number Scroll Date
Y  15758  25632/2017  2017-9-10 0.0.0.0 </t>
  </si>
  <si>
    <t xml:space="preserve">GSTIN    -    07AXXXXXXXXE1ZF
Invoice Number Invoice Date IGST Paid(INR)
XXX006  2017-07-29  28099 </t>
  </si>
  <si>
    <t xml:space="preserve">IEC CHA No. Job No. Job Date Port of Discharge Total Package Gross Weight (Kg) FOB(INR) Total Cess (INR) Drawback STR Total (DBK+STR) CIN NO. CIN DT. Reward Flag
0502037547  AVAPS6694RCH001  5132614  03 AUG 2017 12:08  USNYC  1  247  274015.2  0  5480  0  5480  N.A.  N.A.  Click here to view item wise reward details </t>
  </si>
  <si>
    <t xml:space="preserve">EGM No. EGM Date Container No. Seal No. Error Message
R367241508  2017-8-15 0.0.0.0  TEMU7607563  398610  N.A. </t>
  </si>
  <si>
    <t xml:space="preserve">GSTIN    -    06AXXXXXXXXA1Z5
Invoice Number Invoice Date IGST Paid(INR)
XXXXXXX-18  2017-07-11  49321 </t>
  </si>
  <si>
    <t xml:space="preserve">AWB No. Gateway Port Gateway EGM No. Gateway EGM Date Gateway Site ID Error Code
N.A.  INMUN1  160432  2018-10-31 00:00:00.0  INMUN1  S </t>
  </si>
  <si>
    <t xml:space="preserve">IEC CHA No. Job No. Job Date Port of Discharge Total Package Gross Weight (Kg) FOB(INR) Total Cess (INR) Drawback STR Total (DBK+STR) CIN NO. CIN DT. Reward Flag
0511034661  AABCC8115GCH002  5136673  03 AUG 2017 12:08  AEJEA  64  306  1002715.8  0  0  0  0  N.A.  N.A.  Click here to view item wise reward details </t>
  </si>
  <si>
    <t xml:space="preserve">Current Que LEO Date EP Copy Print Status DBK Scroll No Scroll Date EGM Integration Status
HIST  05 AUG 2017 00:08  Y  N.A.  N.A.  Y </t>
  </si>
  <si>
    <t xml:space="preserve">EGM No. EGM Date Container No. Seal No. Error Message
T587961208  2017-8-12 0.0.0.0  FCIU8449214  398049  N.A. </t>
  </si>
  <si>
    <t xml:space="preserve">GSTIN    -    07AXXXXXXXXL1ZH
Invoice Number Invoice Date IGST Paid(INR)
006  2017-08-03  71889 </t>
  </si>
  <si>
    <t xml:space="preserve">AWB No. Gateway Port Gateway EGM No. Gateway EGM Date Gateway Site ID Error Code
N.A.  INNSA1  132332  2017-07-28 00:00:00.0  INNSA1  S </t>
  </si>
  <si>
    <t>2017/08/04</t>
  </si>
  <si>
    <t xml:space="preserve">IEC CHA No. Job No. Job Date Port of Discharge Total Package Gross Weight (Kg) FOB(INR) Total Cess (INR) Drawback STR Total (DBK+STR) CIN NO. CIN DT. Reward Flag
0513045228  AAICS8856RCH001  5145688  04 AUG 2017 12:08  LKCMB  123  815  1013422.31  0  5771  0  5771  N.A.  N.A.  Click here to view item wise reward details </t>
  </si>
  <si>
    <t xml:space="preserve">Current Que LEO Date EP Copy Print Status DBK Scroll No Scroll Date EGM Integration Status
HIST  18 AUG 2017 00:08  Y  21593/2017  12 SEP 2017 00:09  Y </t>
  </si>
  <si>
    <t xml:space="preserve">EGM No. EGM Date Container No. Seal No. Error Message
R957502308  2017-8-23 0.0.0.0  ZCSU6529476  399516  N.A. </t>
  </si>
  <si>
    <t xml:space="preserve">GSTIN    -    07AXXXXXXXXA1ZL
Invoice Number Invoice Date IGST Paid(INR)
53  2017-07-31  141585 </t>
  </si>
  <si>
    <t xml:space="preserve">AWB No. Gateway Port Gateway EGM No. Gateway EGM Date Gateway Site ID Error Code
N.A.  INPAV1  133808  2017-08-24 00:00:00.0  INPAV1  S </t>
  </si>
  <si>
    <t xml:space="preserve">IEC CHA No. Job No. Job Date Port of Discharge Total Package Gross Weight (Kg) FOB(INR) Total Cess (INR) Drawback STR Total (DBK+STR) CIN NO. CIN DT. Reward Flag
0507068645  AABCT3664RCH001  5161689  04 AUG 2017 12:08  PHMNL  9  791  36091.61  0  722  0  722  N.A.  N.A.  Click here to view item wise reward details </t>
  </si>
  <si>
    <t xml:space="preserve">Current Que LEO Date EP Copy Print Status DBK Scroll No Scroll Date EGM Integration Status
HIST  07 AUG 2017 00:08  Y  21593/2017  12 SEP 2017 00:09  Y </t>
  </si>
  <si>
    <t xml:space="preserve">EGM No. EGM Date Container No. Seal No. Error Message
R467841108  2017-8-11 0.0.0.0  SIKU3077183  398074  N.A. </t>
  </si>
  <si>
    <t xml:space="preserve">GSTIN    -    09AXXXXXXXXF1ZI
Invoice Number Invoice Date IGST Paid(INR)
XXXXX000  2017-07-28  10105 </t>
  </si>
  <si>
    <t>2017/08/05</t>
  </si>
  <si>
    <t xml:space="preserve">IEC CHA No. Job No. Job Date Port of Discharge Total Package Gross Weight (Kg) FOB(INR) Total Cess (INR) Drawback STR Total (DBK+STR) CIN NO. CIN DT. Reward Flag
0592023052  AATPS3087NCH001  5171603  05 AUG 2017 12:08  CATIY  3  1117.58  264343.16  0  5287  0  5287  N.A.  N.A.  Click here to view item wise reward details </t>
  </si>
  <si>
    <t xml:space="preserve">EGM No. EGM Date Container No. Seal No. Error Message
R247281508  2017-8-15 0.0.0.0  CLHU8419145  398617  N.A. </t>
  </si>
  <si>
    <t xml:space="preserve">GSTIN    -    06AXXXXXXXXE4ZU
Invoice Number Invoice Date IGST Paid(INR)
XXXXXXXXXXXXXX-18  2017-08-01  74016 </t>
  </si>
  <si>
    <t xml:space="preserve">IEC CHA No. Job No. Job Date Port of Discharge Total Package Gross Weight (Kg) FOB(INR) Total Cess (INR) Drawback STR Total (DBK+STR) CIN NO. CIN DT. Reward Flag
0593056868  AAAFA8105CCH001  5187167  05 AUG 2017 12:08  DJJIB  487  27750.15  5034285  0  352400  0  352400  N.A.  N.A.  Click here to view item wise reward details </t>
  </si>
  <si>
    <t xml:space="preserve">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 </t>
  </si>
  <si>
    <t xml:space="preserve">EGM No. EGM Date Container No. Seal No. Error Message
J167821108  2017-8-11 0.0.0.0  MRSU3359958  398193  N.A. </t>
  </si>
  <si>
    <t xml:space="preserve">GSTIN    -    07AXXXXXXXXH1ZR
Invoice Number Invoice Date IGST Paid(INR)
XXXXXXXXXXX002  2017-08-05  604113 </t>
  </si>
  <si>
    <t xml:space="preserve">AWB No. Gateway Port Gateway EGM No. Gateway EGM Date Gateway Site ID Error Code
N.A.  INMUN1  133184  2017-08-11 00:00:00.0  INMUN1  S </t>
  </si>
  <si>
    <t xml:space="preserve">IEC CHA No. Job No. Job Date Port of Discharge Total Package Gross Weight (Kg) FOB(INR) Total Cess (INR) Drawback STR Total (DBK+STR) CIN NO. CIN DT. Reward Flag
0500062609  ALGPK6363BCH001  5190319  05 AUG 2017 12:08  OMSOH  5  5210  894292.65  0  17886  0  17886  N.A.  N.A.  Click here to view item wise reward details </t>
  </si>
  <si>
    <t xml:space="preserve">EGM No. EGM Date Container No. Seal No. Error Message
R367241508  2017-8-15 0.0.0.0  BSIU9154848  398377  N.A. </t>
  </si>
  <si>
    <t xml:space="preserve">GSTIN    -    07AXXXXXXXXG1ZH
Invoice Number Invoice Date IGST Paid(INR)
007  2017-08-01  160973 </t>
  </si>
  <si>
    <t xml:space="preserve">AWB No. Gateway Port Gateway EGM No. Gateway EGM Date Gateway Site ID Error Code
N.A.  INMUN1  133567  2017-08-18 00:00:00.0  INMUN1  S </t>
  </si>
  <si>
    <t>2017/08/07</t>
  </si>
  <si>
    <t xml:space="preserve">IEC CHA No. Job No. Job Date Port of Discharge Total Package Gross Weight (Kg) FOB(INR) Total Cess (INR) Drawback STR Total (DBK+STR) CIN NO. CIN DT. Reward Flag
0588050814  AFXPK5610ECH001  5200974  07 AUG 2017 12:08  JPTYO  2  56  37516.42  0  0  0  0  N.A.  N.A.  Click here to view item wise reward details </t>
  </si>
  <si>
    <t xml:space="preserve">EGM No. EGM Date Container No. Seal No. Error Message
R467841108  2017-8-11 0.0.0.0  TCKU3614596  398071  N.A. </t>
  </si>
  <si>
    <t xml:space="preserve">GSTIN    -    07AXXXXXXXXR1ZM
Invoice Number Invoice Date IGST Paid(INR)
X105  2017-08-01  8292 </t>
  </si>
  <si>
    <t>2017/08/08</t>
  </si>
  <si>
    <t xml:space="preserve">IEC CHA No. Job No. Job Date Port of Discharge Total Package Gross Weight (Kg) FOB(INR) Total Cess (INR) Drawback STR Total (DBK+STR) CIN NO. CIN DT. Reward Flag
0515918024  AGYPS4804QCH001  5217366  08 AUG 2017 12:08  AEJEA  18  1064  789144.6  0  15468  0  15468  N.A.  N.A.  Click here to view item wise reward details </t>
  </si>
  <si>
    <t xml:space="preserve">EGM No. EGM Date Container No. Seal No. Error Message
R487082008  2017-8-20 0.0.0.0  CLHU9043812  398678  N.A. </t>
  </si>
  <si>
    <t xml:space="preserve">GSTIN    -    07AXXXXXXXXG1ZP
Invoice Number Invoice Date IGST Paid(INR)
X189  2017-08-07  199238 
X190  2017-08-07  14244 </t>
  </si>
  <si>
    <t xml:space="preserve">AWB No. Gateway Port Gateway EGM No. Gateway EGM Date Gateway Site ID Error Code
N.A.  INMUN1  137180  2017-10-18 00:00:00.0  INMUN1  ST </t>
  </si>
  <si>
    <t xml:space="preserve">IEC CHA No. Job No. Job Date Port of Discharge Total Package Gross Weight (Kg) FOB(INR) Total Cess (INR) Drawback STR Total (DBK+STR) CIN NO. CIN DT. Reward Flag
0502077905  AHDPK8975CCH001  5232403  08 AUG 2017 12:08  MYWSP  7  5950  490858.5  0  5399  0  5399  N.A.  N.A.  Click here to view item wise reward details </t>
  </si>
  <si>
    <t xml:space="preserve">Current Que LEO Date EP Copy Print Status DBK Scroll No Scroll Date EGM Integration Status
HIST  11 AUG 2017 00:08  Y  21652/2017  14 SEP 2017 00:09  Y </t>
  </si>
  <si>
    <t xml:space="preserve">EGM No. EGM Date Container No. Seal No. Error Message
R347041908  2017-8-19 0.0.0.0  CCSU5653592  398689  N.A. </t>
  </si>
  <si>
    <t xml:space="preserve">GSTIN    -    06AXXXXXXXXJ1ZI
Invoice Number Invoice Date IGST Paid(INR)
XXXXXXXXXXXX018  2017-08-08  88693 </t>
  </si>
  <si>
    <t xml:space="preserve">IEC CHA No. Job No. Job Date Port of Discharge Total Package Gross Weight (Kg) FOB(INR) Total Cess (INR) Drawback STR Total (DBK+STR) CIN NO. CIN DT. Reward Flag
0506054306  ABBFA4018NCH001  5233244  08 AUG 2017 12:08  DEHAM  25  487  434843.44  0  33774  0  33774  N.A.  N.A.  Click here to view item wise reward details </t>
  </si>
  <si>
    <t xml:space="preserve">EGM No. EGM Date Container No. Seal No. Error Message
T847481608  2017-8-16 0.0.0.0  SUDU7507315  398620  N.A. </t>
  </si>
  <si>
    <t xml:space="preserve">GSTIN    -    07AXXXXXXXXF1Z6
Invoice Number Invoice Date IGST Paid(INR)
XXXX613  2017-08-02  105585 </t>
  </si>
  <si>
    <t xml:space="preserve">AWB No. Gateway Port Gateway EGM No. Gateway EGM Date Gateway Site ID Error Code
N.A.  INMUN1  133566  2017-08-18 00:00:00.0  INMUN1  S </t>
  </si>
  <si>
    <t>2017/08/09</t>
  </si>
  <si>
    <t xml:space="preserve">IEC CHA No. Job No. Job Date Port of Discharge Total Package Gross Weight (Kg) FOB(INR) Total Cess (INR) Drawback STR Total (DBK+STR) CIN NO. CIN DT. Reward Flag
0500042616  AJEPK5545PCH001  5246395  09 AUG 2017 12:08  IEDUB  3  124.8  121267.13  0  2425  0  2425  N.A.  N.A.  Click here to view item wise reward details </t>
  </si>
  <si>
    <t xml:space="preserve">Current Que LEO Date EP Copy Print Status DBK Scroll No Scroll Date EGM Integration Status
HIST  10 AUG 2017 00:08  Y  21652/2017  14 SEP 2017 00:09  Y </t>
  </si>
  <si>
    <t xml:space="preserve">EGM No. EGM Date Container No. Seal No. Error Message
T567841908  2017-8-19 0.0.0.0  CCLU6335831  398647  N.A. </t>
  </si>
  <si>
    <t xml:space="preserve">GSTIN    -    07AXXXXXXXXR1ZF
Invoice Number Invoice Date IGST Paid(INR)
XXXXXXXXXXX010  2017-07-31  35910 </t>
  </si>
  <si>
    <t xml:space="preserve">AWB No. Gateway Port Gateway EGM No. Gateway EGM Date Gateway Site ID Error Code
N.A.  INNSA1  132938  2017-08-09 00:00:00.0  INNSA1  S </t>
  </si>
  <si>
    <t xml:space="preserve">IEC CHA No. Job No. Job Date Port of Discharge Total Package Gross Weight (Kg) FOB(INR) Total Cess (INR) Drawback STR Total (DBK+STR) CIN NO. CIN DT. Reward Flag
3097011234  AAACL3717ACH006  5248128  09 AUG 2017 12:08  ITGOA  6  2850  404859  0  8097  0  8097  N.A.  N.A.  Click here to view item wise reward details </t>
  </si>
  <si>
    <t xml:space="preserve">Current Que LEO Date EP Copy Print Status DBK Scroll No Scroll Date EGM Integration Status
HIST  14 AUG 2017 00:08  Y  21652/2017  14 SEP 2017 00:09  Y </t>
  </si>
  <si>
    <t xml:space="preserve">EGM No. EGM Date Container No. Seal No. Error Message
T957582308  2017-8-23 0.0.0.0  FCIU5841073  399543  N.A. </t>
  </si>
  <si>
    <t xml:space="preserve">GSTIN    -    03AXXXXXXXXL1Z0
Invoice Number Invoice Date IGST Paid(INR)
XXXX736  2017-08-09  111367 </t>
  </si>
  <si>
    <t xml:space="preserve">AWB No. Gateway Port Gateway EGM No. Gateway EGM Date Gateway Site ID Error Code
N.A.  INMUN1  134053  2017-08-28 00:00:00.0  INMUN1  S </t>
  </si>
  <si>
    <t xml:space="preserve">IEC CHA No. Job No. Job Date Port of Discharge Total Package Gross Weight (Kg) FOB(INR) Total Cess (INR) Drawback STR Total (DBK+STR) CIN NO. CIN DT. Reward Flag
AAKFN5762C  AHVPD5199DCH001  5252194  09 AUG 2017 12:08  USSIO  7  2975  4303349.56  0  43033  0  43033  N.A.  N.A.  Click here to view item wise reward details </t>
  </si>
  <si>
    <t xml:space="preserve">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 </t>
  </si>
  <si>
    <t xml:space="preserve">EGM No. EGM Date Container No. Seal No. Error Message
N.A.  N.A.  N.A.  N.A.  N.A. </t>
  </si>
  <si>
    <t xml:space="preserve">GSTIN    -    07AXXXXXXXXC1Z8
Invoice Number Invoice Date IGST Paid(INR)
XXX-75  2017-08-08  784898 </t>
  </si>
  <si>
    <t>No Record found</t>
  </si>
  <si>
    <t xml:space="preserve">IEC CHA No. Job No. Job Date Port of Discharge Total Package Gross Weight (Kg) FOB(INR) Total Cess (INR) Drawback STR Total (DBK+STR) CIN NO. CIN DT. Reward Flag
0517542374  AAAPC3345CCH001  5262192  09 AUG 2017 12:08  AEJEA  26  950  1030234.69  0  20528  0  20528  N.A.  N.A.  Click here to view item wise reward details </t>
  </si>
  <si>
    <t xml:space="preserve">GSTIN    -    06AXXXXXXXXR1ZC
Invoice Number Invoice Date IGST Paid(INR)
XXX/01  2017-07-28  187353 </t>
  </si>
  <si>
    <t>2017/08/10</t>
  </si>
  <si>
    <t xml:space="preserve">IEC CHA No. Job No. Job Date Port of Discharge Total Package Gross Weight (Kg) FOB(INR) Total Cess (INR) Drawback STR Total (DBK+STR) CIN NO. CIN DT. Reward Flag
0595025714  AAACP3974HCH001  5268773  10 AUG 2017 12:08  OMSOH  364  3086.72  590121.28  0  8852  0  8852  N.A.  N.A.  Click here to view item wise reward details </t>
  </si>
  <si>
    <t xml:space="preserve">Current Que LEO Date EP Copy Print Status DBK Scroll No Scroll Date EGM Integration Status
HIST  16 AUG 2017 00:08  Y  21593/2017  12 SEP 2017 00:09  Y </t>
  </si>
  <si>
    <t xml:space="preserve">EGM No. EGM Date Container No. Seal No. Error Message
R387561708  2017-8-17 0.0.0.0  CXDU1101779  398772  N.A. </t>
  </si>
  <si>
    <t xml:space="preserve">GSTIN    -    06AXXXXXXXXF1Z5
Invoice Number Invoice Date IGST Paid(INR)
XXXXXXXXXXXXX040  2017-08-09  30806 </t>
  </si>
  <si>
    <t xml:space="preserve">AWB No. Gateway Port Gateway EGM No. Gateway EGM Date Gateway Site ID Error Code
N.A.  INMUN1  N.A.  N.A.  N.A.  N.A. </t>
  </si>
  <si>
    <t xml:space="preserve">IEC CHA No. Job No. Job Date Port of Discharge Total Package Gross Weight (Kg) FOB(INR) Total Cess (INR) Drawback STR Total (DBK+STR) CIN NO. CIN DT. Reward Flag
0507051360  AAAFJ1721HCH058  5281453  10 AUG 2017 12:08  THBKK  1  150  187569.54  0  3751  0  3751  N.A.  N.A.  Click here to view item wise reward details </t>
  </si>
  <si>
    <t xml:space="preserve">GSTIN    -    06AXXXXXXXXR2ZO
Invoice Number Invoice Date IGST Paid(INR)
XXXXXXXXXXXXX/17  2017-08-10  53047 </t>
  </si>
  <si>
    <t xml:space="preserve">IEC CHA No. Job No. Job Date Port of Discharge Total Package Gross Weight (Kg) FOB(INR) Total Cess (INR) Drawback STR Total (DBK+STR) CIN NO. CIN DT. Reward Flag
0514026804  APGPK3937FCH001  5291412  10 AUG 2017 12:08  PKKHI  1113  24708  1492912.5  0  22394  0  22394  N.A.  N.A.  Click here to view item wise reward details </t>
  </si>
  <si>
    <t xml:space="preserve">Current Que LEO Date EP Copy Print Status DBK Scroll No Scroll Date EGM Integration Status
HIST  21 AUG 2017 00:08  Y  24432/2018  25 MAR 2018 00:03  Y </t>
  </si>
  <si>
    <t xml:space="preserve">EGM No. EGM Date Container No. Seal No. Error Message
R467902508  2017-8-25 0.0.0.0  BMOU6258360  399629  N.A. </t>
  </si>
  <si>
    <t xml:space="preserve">GSTIN    -    07AXXXXXXXXH1ZD
Invoice Number Invoice Date IGST Paid(INR)
XXXXXXXXXXXXX-18  2017-08-09  179147 </t>
  </si>
  <si>
    <t xml:space="preserve">AWB No. Gateway Port Gateway EGM No. Gateway EGM Date Gateway Site ID Error Code
N.A.  INMUN1  134209  2017-08-30 00:00:00.0  INMUN1  NC </t>
  </si>
  <si>
    <t xml:space="preserve">IEC CHA No. Job No. Job Date Port of Discharge Total Package Gross Weight (Kg) FOB(INR) Total Cess (INR) Drawback STR Total (DBK+STR) CIN NO. CIN DT. Reward Flag
0598045783  FHMPS1058ECH001  5292835  10 AUG 2017 12:08  LKCMB  51  1050  584819.25  0  0  0  0  N.A.  N.A.  Click here to view item wise reward details </t>
  </si>
  <si>
    <t xml:space="preserve">Current Que LEO Date EP Copy Print Status DBK Scroll No Scroll Date EGM Integration Status
HIST  14 AUG 2017 00:08  Y  N.A.  N.A.  Y </t>
  </si>
  <si>
    <t xml:space="preserve">GSTIN    -    07AXXXXXXXXA1Z1
Invoice Number Invoice Date IGST Paid(INR)
XXXXXXXXXXXXXX-18  2017-08-10  70173 </t>
  </si>
  <si>
    <t>2017/08/11</t>
  </si>
  <si>
    <t xml:space="preserve">IEC CHA No. Job No. Job Date Port of Discharge Total Package Gross Weight (Kg) FOB(INR) Total Cess (INR) Drawback STR Total (DBK+STR) CIN NO. CIN DT. Reward Flag
0509025765  AACCA2655GCH002  5303717  11 AUG 2017 12:08  MUPLU  22  2580  295432.08  0  4288  0  4288  N.A.  N.A.  Click here to view item wise reward details </t>
  </si>
  <si>
    <t xml:space="preserve">Current Que LEO Date EP Copy Print Status DBK Scroll No Scroll Date EGM Integration Status
HIST  16 AUG 2017 00:08  Y  21843/2017  21 SEP 2017 00:09  Y </t>
  </si>
  <si>
    <t xml:space="preserve">EGM No. EGM Date Container No. Seal No. Error Message
TX197783108  2017-8-31 0.0.0.0  WHLU5249023  400237  N.A. </t>
  </si>
  <si>
    <t xml:space="preserve">GSTIN    -    07AXXXXXXXXP1Z3
Invoice Number Invoice Date IGST Paid(INR)
XXXXXXX006  2017-08-08  32141 </t>
  </si>
  <si>
    <t xml:space="preserve">IEC CHA No. Job No. Job Date Port of Discharge Total Package Gross Weight (Kg) FOB(INR) Total Cess (INR) Drawback STR Total (DBK+STR) CIN NO. CIN DT. Reward Flag
0598055665  AARPK1504ACH001  5306450  11 AUG 2017 12:08  FIHEL  25  475  353695.5  0  33601  0  33601  N.A.  N.A.  Click here to view item wise reward details </t>
  </si>
  <si>
    <t xml:space="preserve">Current Que LEO Date EP Copy Print Status DBK Scroll No Scroll Date EGM Integration Status
HIST  24 AUG 2017 00:08  Y  21652/2017  14 SEP 2017 00:09  Y </t>
  </si>
  <si>
    <t xml:space="preserve">EGM No. EGM Date Container No. Seal No. Error Message
R127262708  2017-8-27 0.0.0.0  GESU5095600  399594  N.A. </t>
  </si>
  <si>
    <t xml:space="preserve">GSTIN    -    07AXXXXXXXXD1ZA
Invoice Number Invoice Date IGST Paid(INR)
XXXX008  2017-08-08  53730 </t>
  </si>
  <si>
    <t xml:space="preserve">IEC CHA No. Job No. Job Date Port of Discharge Total Package Gross Weight (Kg) FOB(INR) Total Cess (INR) Drawback STR Total (DBK+STR) CIN NO. CIN DT. Reward Flag
0507051360  AAAFJ1721HCH058  5310153  11 AUG 2017 12:08  THBKK  1  150  187563.26  0  3751  0  3751  N.A.  N.A.  Click here to view item wise reward details </t>
  </si>
  <si>
    <t xml:space="preserve">GSTIN    -    06AXXXXXXXXR2ZO
Invoice Number Invoice Date IGST Paid(INR)
XXXXXXXXXXXXX/17  2017-08-11  53047 </t>
  </si>
  <si>
    <t xml:space="preserve">AWB No. Gateway Port Gateway EGM No. Gateway EGM Date Gateway Site ID Error Code
N.A.  INNSA1  133227  2017-08-14 00:00:00.0  INNSA1  S </t>
  </si>
  <si>
    <t xml:space="preserve">IEC CHA No. Job No. Job Date Port of Discharge Total Package Gross Weight (Kg) FOB(INR) Total Cess (INR) Drawback STR Total (DBK+STR) CIN NO. CIN DT. Reward Flag
0517546981  AICPK6933ACH001  5317376  11 AUG 2017 12:08  SADMN  14  405  247603.86  0  0  0  0  N.A.  N.A.  Click here to view item wise reward details </t>
  </si>
  <si>
    <t xml:space="preserve">Current Que LEO Date EP Copy Print Status DBK Scroll No Scroll Date EGM Integration Status
HIST  16 AUG 2017 00:08  Y  N.A.  N.A.  Y </t>
  </si>
  <si>
    <t xml:space="preserve">EGM No. EGM Date Container No. Seal No. Error Message
R487082008  2017-8-20 0.0.0.0  BSIU2524581  398651  N.A. </t>
  </si>
  <si>
    <t xml:space="preserve">GSTIN    -    07AXXXXXXXXM1Z2
Invoice Number Invoice Date IGST Paid(INR)
35  2017-08-04  44565 </t>
  </si>
  <si>
    <t xml:space="preserve">IEC CHA No. Job No. Job Date Port of Discharge Total Package Gross Weight (Kg) FOB(INR) Total Cess (INR) Drawback STR Total (DBK+STR) CIN NO. CIN DT. Reward Flag
0590022873  AAICS8856RCH001  5319329  11 AUG 2017 12:08  PLGDY  7  5710  927037.5  0  18541  0  18541  N.A.  N.A.  Click here to view item wise reward details </t>
  </si>
  <si>
    <t xml:space="preserve">Current Que LEO Date EP Copy Print Status DBK Scroll No Scroll Date EGM Integration Status
HIST  17 AUG 2017 00:08  Y  21843/2017  21 SEP 2017 00:09  Y </t>
  </si>
  <si>
    <t xml:space="preserve">EGM No. EGM Date Container No. Seal No. Error Message
J207823108  2017-8-31 0.0.0.0  MEDU7287066  400247  N.A. </t>
  </si>
  <si>
    <t xml:space="preserve">GSTIN    -    09AXXXXXXXXE1ZL
Invoice Number Invoice Date IGST Paid(INR)
XXXXXXXX020  2017-08-08  280688 </t>
  </si>
  <si>
    <t xml:space="preserve">AWB No. Gateway Port Gateway EGM No. Gateway EGM Date Gateway Site ID Error Code
N.A.  INMUN1  134147  2017-08-29 00:00:00.0  INMUN1  S </t>
  </si>
  <si>
    <t xml:space="preserve">IEC CHA No. Job No. Job Date Port of Discharge Total Package Gross Weight (Kg) FOB(INR) Total Cess (INR) Drawback STR Total (DBK+STR) CIN NO. CIN DT. Reward Flag
0314035087  AAACJ3309GCH001  5319773  11 AUG 2017 12:08  SNDKR  227  10727  1129229.09  0  16938  0  16938  N.A.  N.A.  Click here to view item wise reward details </t>
  </si>
  <si>
    <t xml:space="preserve">EGM No. EGM Date Container No. Seal No. Error Message
T957582308  2017-8-23 0.0.0.0  MRKU6649496  399437  N.A. </t>
  </si>
  <si>
    <t xml:space="preserve">GSTIN    -    27AXXXXXXXXN1Z4
Invoice Number Invoice Date IGST Paid(INR)
XXXXX042  2017-08-09  5030 </t>
  </si>
  <si>
    <t xml:space="preserve">AWB No. Gateway Port Gateway EGM No. Gateway EGM Date Gateway Site ID Error Code
N.A.  INMUN1  134794  2017-09-08 00:00:00.0  INMUN1  S </t>
  </si>
  <si>
    <t xml:space="preserve">IEC CHA No. Job No. Job Date Port of Discharge Total Package Gross Weight (Kg) FOB(INR) Total Cess (INR) Drawback STR Total (DBK+STR) CIN NO. CIN DT. Reward Flag
0503083518  AACCP0287DCH001  5320861  11 AUG 2017 12:08  FJSUV  42  1078  244576.38  0  3669  0  3669  N.A.  N.A.  Click here to view item wise reward details </t>
  </si>
  <si>
    <t xml:space="preserve">EGM No. EGM Date Container No. Seal No. Error Message
R857781808  2017-8-18 0.0.0.0  UNIU2052951  398643  N.A. </t>
  </si>
  <si>
    <t xml:space="preserve">GSTIN    -    07AXXXXXXXXE1ZF
Invoice Number Invoice Date IGST Paid(INR)
XXXXXXXX017  2017-08-08  27598 </t>
  </si>
  <si>
    <t xml:space="preserve">AWB No. Gateway Port Gateway EGM No. Gateway EGM Date Gateway Site ID Error Code
N.A.  INPAV1  133387  2017-08-16 00:00:00.0  INPAV1  S </t>
  </si>
  <si>
    <t>2017/08/12</t>
  </si>
  <si>
    <t xml:space="preserve">IEC CHA No. Job No. Job Date Port of Discharge Total Package Gross Weight (Kg) FOB(INR) Total Cess (INR) Drawback STR Total (DBK+STR) CIN NO. CIN DT. Reward Flag
0510040519  AATPS3087NCH001  5335219  12 AUG 2017 12:08  RULED  541  4695.4  901244.49  0  5978  0  5978  N.A.  N.A.  Click here to view item wise reward details </t>
  </si>
  <si>
    <t xml:space="preserve">Current Que LEO Date EP Copy Print Status DBK Scroll No Scroll Date EGM Integration Status
HIST  18 AUG 2017 00:08  Y  21652/2017  14 SEP 2017 00:09  Y </t>
  </si>
  <si>
    <t xml:space="preserve">EGM No. EGM Date Container No. Seal No. Error Message
R127262708  2017-8-27 0.0.0.0  HASU1199758  399248  N.A. </t>
  </si>
  <si>
    <t xml:space="preserve">GSTIN    -    07AXXXXXXXXP1Z5
Invoice Number Invoice Date IGST Paid(INR)
XXXXXXXXXXX/17  2017-08-10  45056 </t>
  </si>
  <si>
    <t xml:space="preserve">AWB No. Gateway Port Gateway EGM No. Gateway EGM Date Gateway Site ID Error Code
N.A.  INNSA1  133031  2017-08-10 00:00:00.0  INNSA1  S </t>
  </si>
  <si>
    <t>2017/08/15</t>
  </si>
  <si>
    <t xml:space="preserve">IEC CHA No. Job No. Job Date Port of Discharge Total Package Gross Weight (Kg) FOB(INR) Total Cess (INR) Drawback STR Total (DBK+STR) CIN NO. CIN DT. Reward Flag
0514081988  AATPS3087NCH001  5372063  15 AUG 2017 12:08  SADMM  349  4100  537776.03  0  10756  0  10756  N.A.  N.A.  Click here to view item wise reward details </t>
  </si>
  <si>
    <t xml:space="preserve">EGM No. EGM Date Container No. Seal No. Error Message
R207802508  2017-8-25 0.0.0.0  MSKU7268433  399449  N.A. </t>
  </si>
  <si>
    <t xml:space="preserve">GSTIN    -    07BXXXXXXXXH1ZS
Invoice Number Invoice Date IGST Paid(INR)
XXXXXXXXXXXXXX004  2017-08-10  96798 </t>
  </si>
  <si>
    <t xml:space="preserve">AWB No. Gateway Port Gateway EGM No. Gateway EGM Date Gateway Site ID Error Code
N.A.  INPAV1  132215  2017-07-26 00:00:00.0  INPAV1  S </t>
  </si>
  <si>
    <t>2017/08/16</t>
  </si>
  <si>
    <t xml:space="preserve">IEC CHA No. Job No. Job Date Port of Discharge Total Package Gross Weight (Kg) FOB(INR) Total Cess (INR) Drawback STR Total (DBK+STR) CIN NO. CIN DT. Reward Flag
0512062013  FHMPS1058ECH001  5375921  16 AUG 2017 12:08  UYMVD  58  1241  576334.5  0  43225  0  43225  N.A.  N.A.  Click here to view item wise reward details </t>
  </si>
  <si>
    <t xml:space="preserve">Current Que LEO Date EP Copy Print Status DBK Scroll No Scroll Date EGM Integration Status
HIST  17 AUG 2017 00:08  Y  21652/2017  14 SEP 2017 00:09  Y </t>
  </si>
  <si>
    <t xml:space="preserve">EGM No. EGM Date Container No. Seal No. Error Message
R807442208  2017-8-22 0.0.0.0  PCIU8179227  399508  N.A. </t>
  </si>
  <si>
    <t xml:space="preserve">GSTIN    -    07AXXXXXXXXH1Z4
Invoice Number Invoice Date IGST Paid(INR)
XXXX002  2017-08-02  28671 </t>
  </si>
  <si>
    <t xml:space="preserve">AWB No. Gateway Port Gateway EGM No. Gateway EGM Date Gateway Site ID Error Code
N.A.  INNSA1  134040  2017-08-28 00:00:00.0  INNSA1  S </t>
  </si>
  <si>
    <t xml:space="preserve">IEC CHA No. Job No. Job Date Port of Discharge Total Package Gross Weight (Kg) FOB(INR) Total Cess (INR) Drawback STR Total (DBK+STR) CIN NO. CIN DT. Reward Flag
0513021612  AAGPD5694PCH001  5389841  16 AUG 2017 12:08  DOSDQ  30  730  278973.55  0  5434  0  5434  N.A.  N.A.  Click here to view item wise reward details </t>
  </si>
  <si>
    <t xml:space="preserve">Current Que LEO Date EP Copy Print Status DBK Scroll No Scroll Date EGM Integration Status
HIST  19 AUG 2017 00:08  Y  21843/2017  21 SEP 2017 00:09  Y </t>
  </si>
  <si>
    <t xml:space="preserve">EGM No. EGM Date Container No. Seal No. Error Message
R87120209  2017-9-2 0.0.0.0  TCNU7158117  401010  N.A. </t>
  </si>
  <si>
    <t xml:space="preserve">GSTIN    -    07AXXXXXXXXF2ZV
Invoice Number Invoice Date IGST Paid(INR)
XXXXXXXXXXXXXXX06  2017-08-10  67373 </t>
  </si>
  <si>
    <t xml:space="preserve">AWB No. Gateway Port Gateway EGM No. Gateway EGM Date Gateway Site ID Error Code
N.A.  INNSA1  133314  2017-08-16 00:00:00.0  INNSA1  S </t>
  </si>
  <si>
    <t xml:space="preserve">IEC CHA No. Job No. Job Date Port of Discharge Total Package Gross Weight (Kg) FOB(INR) Total Cess (INR) Drawback STR Total (DBK+STR) CIN NO. CIN DT. Reward Flag
0515042064  AFYPK1878FCH001  5394090  16 AUG 2017 12:08  THBKK  8  96  42423.75  0  636  0  636  N.A.  N.A.  Click here to view item wise reward details </t>
  </si>
  <si>
    <t xml:space="preserve">Current Que LEO Date EP Copy Print Status DBK Scroll No Scroll Date EGM Integration Status
HIST  23 AUG 2017 00:08  Y  21652/2017  14 SEP 2017 00:09  Y </t>
  </si>
  <si>
    <t xml:space="preserve">EGM No. EGM Date Container No. Seal No. Error Message
R127262708  2017-8-27 0.0.0.0  RFCU2145800  399580  N.A. </t>
  </si>
  <si>
    <t xml:space="preserve">GSTIN    -    07AXXXXXXXXK1ZB
Invoice Number Invoice Date IGST Paid(INR)
XXXXXXXXX-18  2017-08-16  6059 </t>
  </si>
  <si>
    <t>2017/08/17</t>
  </si>
  <si>
    <t xml:space="preserve">IEC CHA No. Job No. Job Date Port of Discharge Total Package Gross Weight (Kg) FOB(INR) Total Cess (INR) Drawback STR Total (DBK+STR) CIN NO. CIN DT. Reward Flag
0593058577  ADWPT4152FCH001  5411860  17 AUG 2017 12:08  BGVAR  6  9000  1275380  0  25508  0  25508  N.A.  N.A.  Click here to view item wise reward details </t>
  </si>
  <si>
    <t xml:space="preserve">Current Que LEO Date EP Copy Print Status DBK Scroll No Scroll Date EGM Integration Status
HIST  21 AUG 2017 00:08  Y  21652/2017  14 SEP 2017 00:09  Y </t>
  </si>
  <si>
    <t xml:space="preserve">EGM No. EGM Date Container No. Seal No. Error Message
T957582308  2017-8-23 0.0.0.0  HASU4272343  399531  N.A. </t>
  </si>
  <si>
    <t xml:space="preserve">GSTIN    -    06AXXXXXXXXK1ZT
Invoice Number Invoice Date IGST Paid(INR)
XXXXXXXXXXXXXX502  2017-08-11  127960 </t>
  </si>
  <si>
    <t xml:space="preserve">AWB No. Gateway Port Gateway EGM No. Gateway EGM Date Gateway Site ID Error Code
N.A.  INMUN1  134051  2017-08-28 00:00:00.0  INMUN1  S </t>
  </si>
  <si>
    <t xml:space="preserve">IEC CHA No. Job No. Job Date Port of Discharge Total Package Gross Weight (Kg) FOB(INR) Total Cess (INR) Drawback STR Total (DBK+STR) CIN NO. CIN DT. Reward Flag
0515042064  AFYPK1878FCH001  5417911  17 AUG 2017 12:08  CAMTR  51  637.5  245137  0  3677  0  3677  N.A.  N.A.  Click here to view item wise reward details </t>
  </si>
  <si>
    <t xml:space="preserve">Current Que LEO Date EP Copy Print Status DBK Scroll No Scroll Date EGM Integration Status
HIST  24 AUG 2017 00:08  Y  21843/2017  21 SEP 2017 00:09  Y </t>
  </si>
  <si>
    <t xml:space="preserve">EGM No. EGM Date Container No. Seal No. Error Message
R87120209  2017-9-2 0.0.0.0  TGHU7862323  4001009  N.A. </t>
  </si>
  <si>
    <t xml:space="preserve">GSTIN    -    07AXXXXXXXXK1ZB
Invoice Number Invoice Date IGST Paid(INR)
XXXXXXXXX-18  2017-08-17  23380 </t>
  </si>
  <si>
    <t xml:space="preserve">AWB No. Gateway Port Gateway EGM No. Gateway EGM Date Gateway Site ID Error Code
N.A.  INNSA1  134474  2017-09-04 00:00:00.0  INNSA1  C </t>
  </si>
  <si>
    <t xml:space="preserve">IEC CHA No. Job No. Job Date Port of Discharge Total Package Gross Weight (Kg) FOB(INR) Total Cess (INR) Drawback STR Total (DBK+STR) CIN NO. CIN DT. Reward Flag
0509092110  AAGPB6351DCH001  5422677  17 AUG 2017 12:08  IRBND  395  10895.91  1996650.23  0  81230  0  81230  N.A.  N.A.  Click here to view item wise reward details </t>
  </si>
  <si>
    <t xml:space="preserve">EGM No. EGM Date Container No. Seal No. Error Message
R577683008  2017-8-30 0.0.0.0  AXIU2216000  399584  N.A. </t>
  </si>
  <si>
    <t xml:space="preserve">GSTIN    -    07AXXXXXXXXA1ZV
Invoice Number Invoice Date IGST Paid(INR)
XXXX082  2017-07-31  14173 </t>
  </si>
  <si>
    <t xml:space="preserve">IEC CHA No. Job No. Job Date Port of Discharge Total Package Gross Weight (Kg) FOB(INR) Total Cess (INR) Drawback STR Total (DBK+STR) CIN NO. CIN DT. Reward Flag
0599007931  AASPK7562KCH001  5422767  17 AUG 2017 12:08  EGPSD  6  166.5  173466  0  0  0  0  N.A.  N.A.  Click here to view item wise reward details </t>
  </si>
  <si>
    <t xml:space="preserve">Current Que LEO Date EP Copy Print Status DBK Scroll No Scroll Date EGM Integration Status
HIST  19 AUG 2017 00:08  R  N.A.  N.A.  Y </t>
  </si>
  <si>
    <t xml:space="preserve">EGM No. EGM Date Container No. Seal No. Error Message
R917162708  2017-8-27 0.0.0.0  WHLU5136177  400214  N.A. </t>
  </si>
  <si>
    <t xml:space="preserve">GSTIN    -    09AXXXXXXXXG1ZF
Invoice Number Invoice Date IGST Paid(INR)
XXXXXXXXXXXXXX004  2017-08-17  31224 </t>
  </si>
  <si>
    <t xml:space="preserve">AWB No. Gateway Port Gateway EGM No. Gateway EGM Date Gateway Site ID Error Code
N.A.  INNSA1  134681  2017-09-07 00:00:00.0  INNSA1  S </t>
  </si>
  <si>
    <t xml:space="preserve">IEC CHA No. Job No. Job Date Port of Discharge Total Package Gross Weight (Kg) FOB(INR) Total Cess (INR) Drawback STR Total (DBK+STR) CIN NO. CIN DT. Reward Flag
0514087234  AADCC6624QCH001  5424321  17 AUG 2017 12:08  KEEMB  63  2558.97  746343.75  0  62693  0  62693  N.A.  N.A.  Click here to view item wise reward details </t>
  </si>
  <si>
    <t xml:space="preserve">Current Que LEO Date EP Copy Print Status DBK Scroll No Scroll Date EGM Integration Status
HIST  25 AUG 2017 00:08  Y  21843/2017  21 SEP 2017 00:09  Y </t>
  </si>
  <si>
    <t xml:space="preserve">EGM No. EGM Date Container No. Seal No. Error Message
R1477100209  2017-9-2 0.0.0.0  FSCU9987548  401004  N.A. </t>
  </si>
  <si>
    <t xml:space="preserve">GSTIN    -    07AXXXXXXXXA1ZN
Invoice Number Invoice Date IGST Paid(INR)
XXXXXX-18  2017-08-01  38967 </t>
  </si>
  <si>
    <t xml:space="preserve">AWB No. Gateway Port Gateway EGM No. Gateway EGM Date Gateway Site ID Error Code
N.A.  INMUN1  133949  2017-08-26 00:00:00.0  INMUN1  S </t>
  </si>
  <si>
    <t>2017/08/18</t>
  </si>
  <si>
    <t xml:space="preserve">IEC CHA No. Job No. Job Date Port of Discharge Total Package Gross Weight (Kg) FOB(INR) Total Cess (INR) Drawback STR Total (DBK+STR) CIN NO. CIN DT. Reward Flag
0509006191  AADFT2787LCH001  5445293  18 AUG 2017 12:08  USNYC  46  853.3  248089.5  0  0  0  0  N.A.  N.A.  Click here to view item wise reward details </t>
  </si>
  <si>
    <t xml:space="preserve">Current Que LEO Date EP Copy Print Status DBK Scroll No Scroll Date EGM Integration Status
HIST  23 AUG 2017 00:08  Y  N.A.  N.A.  Y </t>
  </si>
  <si>
    <t xml:space="preserve">EGM No. EGM Date Container No. Seal No. Error Message
R917162708  2017-8-27 0.0.0.0  TCLU9275028  399574  N.A. </t>
  </si>
  <si>
    <t xml:space="preserve">GSTIN    -    07AXXXXXXXXJ1ZV
Invoice Number Invoice Date IGST Paid(INR)
XXXXXXXXXXXXXX/17  2017-08-12  45043 </t>
  </si>
  <si>
    <t xml:space="preserve">AWB No. Gateway Port Gateway EGM No. Gateway EGM Date Gateway Site ID Error Code
N.A.  INNSA1  133604  2017-08-19 00:00:00.0  INNSA1  S </t>
  </si>
  <si>
    <t xml:space="preserve">IEC CHA No. Job No. Job Date Port of Discharge Total Package Gross Weight (Kg) FOB(INR) Total Cess (INR) Drawback STR Total (DBK+STR) CIN NO. CIN DT. Reward Flag
0507062884  AYZPP5973GCH001  5449513  18 AUG 2017 12:08  BRSSZ  55  2705  1350857  0  27017  0  27017  N.A.  N.A.  Click here to view item wise reward details </t>
  </si>
  <si>
    <t xml:space="preserve">EGM No. EGM Date Container No. Seal No. Error Message
R027922508  2017-8-25 0.0.0.0  TCLU9529586  003209  N.A. </t>
  </si>
  <si>
    <t xml:space="preserve">GSTIN    -    09AXXXXXXXXJ1Z6
Invoice Number Invoice Date IGST Paid(INR)
XXXXXXXXXXX018  2017-08-10  243149 </t>
  </si>
  <si>
    <t xml:space="preserve">IEC CHA No. Job No. Job Date Port of Discharge Total Package Gross Weight (Kg) FOB(INR) Total Cess (INR) Drawback STR Total (DBK+STR) CIN NO. CIN DT. Reward Flag
0512002835  AABCJ1595RCH001  5450610  18 AUG 2017 12:08  QADOH  156  4212  521241.75  0  15637  0  15637  N.A.  N.A.  Click here to view item wise reward details </t>
  </si>
  <si>
    <t xml:space="preserve">EGM No. EGM Date Container No. Seal No. Error Message
R557142608  2017-8-26 0.0.0.0  VMLU3500891  399839  N.A. </t>
  </si>
  <si>
    <t xml:space="preserve">GSTIN    -    07AXXXXXXXXG1ZH
Invoice Number Invoice Date IGST Paid(INR)
XXXXXXX/17  2017-08-16  67654 </t>
  </si>
  <si>
    <t>2017/08/19</t>
  </si>
  <si>
    <t xml:space="preserve">IEC CHA No. Job No. Job Date Port of Discharge Total Package Gross Weight (Kg) FOB(INR) Total Cess (INR) Drawback STR Total (DBK+STR) CIN NO. CIN DT. Reward Flag
0589053850  AATPS3087NCH001  5463111  19 AUG 2017 12:08  AEJEA  2  680  81419.04  0  1628  0  1628  N.A.  N.A.  Click here to view item wise reward details </t>
  </si>
  <si>
    <t xml:space="preserve">EGM No. EGM Date Container No. Seal No. Error Message
TX187202708  2017-8-27 0.0.0.0  DRYU9598215  399569  N.A. </t>
  </si>
  <si>
    <t xml:space="preserve">GSTIN    -    06AXXXXXXXXM1ZZ
Invoice Number Invoice Date IGST Paid(INR)
043  2017-08-10  14655 </t>
  </si>
  <si>
    <t>2017/08/20</t>
  </si>
  <si>
    <t xml:space="preserve">IEC CHA No. Job No. Job Date Port of Discharge Total Package Gross Weight (Kg) FOB(INR) Total Cess (INR) Drawback STR Total (DBK+STR) CIN NO. CIN DT. Reward Flag
0516515403  AHDPA0753ECH001  5484326  20 AUG 2017 12:08  GRPIR  17  1786  958973.78  0  41789  0  41789  N.A.  N.A.  Click here to view item wise reward details </t>
  </si>
  <si>
    <t xml:space="preserve">Current Que LEO Date EP Copy Print Status DBK Scroll No Scroll Date EGM Integration Status
HIST  26 AUG 2017 00:08  Y  21652/2017  14 SEP 2017 00:09  Y </t>
  </si>
  <si>
    <t xml:space="preserve">EGM No. EGM Date Container No. Seal No. Error Message
T917703008  2017-8-30 0.0.0.0  EMCU3961694  400391  N.A. </t>
  </si>
  <si>
    <t xml:space="preserve">GSTIN    -    06AXXXXXXXXR1ZB
Invoice Number Invoice Date IGST Paid(INR)
05  2017-08-05  265896 </t>
  </si>
  <si>
    <t xml:space="preserve">AWB No. Gateway Port Gateway EGM No. Gateway EGM Date Gateway Site ID Error Code
N.A.  INNSA1  133611  2017-08-21 00:00:00.0  INNSA1  S </t>
  </si>
  <si>
    <t>2017/08/21</t>
  </si>
  <si>
    <t xml:space="preserve">IEC CHA No. Job No. Job Date Port of Discharge Total Package Gross Weight (Kg) FOB(INR) Total Cess (INR) Drawback STR Total (DBK+STR) CIN NO. CIN DT. Reward Flag
0512072388  AHVPD5199DCH001  5491108  21 AUG 2017 12:08  ZWHRE  143  9247.2  357319.94  0  6041  0  6041  N.A.  N.A.  Click here to view item wise reward details </t>
  </si>
  <si>
    <t xml:space="preserve">Current Que LEO Date EP Copy Print Status DBK Scroll No Scroll Date EGM Integration Status
HIST  24 AUG 2017 00:08  Y  23643/2018  31 JAN 2018 00:01  Y </t>
  </si>
  <si>
    <t xml:space="preserve">EGM No. EGM Date Container No. Seal No. Error Message
TR5624  2018-1-11 0.0.0.0  BEAU4057547  400081  N.A. </t>
  </si>
  <si>
    <t xml:space="preserve">GSTIN    -    07AXXXXXXXXF1Z0
Invoice Number Invoice Date IGST Paid(INR)
XXXXXXXXX-18  2017-08-18  62986 </t>
  </si>
  <si>
    <t xml:space="preserve">IEC CHA No. Job No. Job Date Port of Discharge Total Package Gross Weight (Kg) FOB(INR) Total Cess (INR) Drawback STR Total (DBK+STR) CIN NO. CIN DT. Reward Flag
0504064754  FHMPS1058ECH001  5503987  21 AUG 2017 12:08  LKCMB  8  615  394478.8  0  7703  0  7703  N.A.  N.A.  Click here to view item wise reward details </t>
  </si>
  <si>
    <t xml:space="preserve">EGM No. EGM Date Container No. Seal No. Error Message
T777562908  2017-8-29 0.0.0.0  ZCSU6509680  400220  N.A. </t>
  </si>
  <si>
    <t xml:space="preserve">GSTIN    -    09AXXXXXXXXP2ZF
Invoice Number Invoice Date IGST Paid(INR)
XXXXXXXXX/16  2017-08-17  54751 </t>
  </si>
  <si>
    <t xml:space="preserve">AWB No. Gateway Port Gateway EGM No. Gateway EGM Date Gateway Site ID Error Code
N.A.  INPAV1  131777  2017-07-19 00:00:00.0  INPAV1  L </t>
  </si>
  <si>
    <t xml:space="preserve">IEC CHA No. Job No. Job Date Port of Discharge Total Package Gross Weight (Kg) FOB(INR) Total Cess (INR) Drawback STR Total (DBK+STR) CIN NO. CIN DT. Reward Flag
0592023052  AGYPS4804QCH001  5504396  21 AUG 2017 12:08  MYPKG  1  516.28  190025.14  0  3801  0  3801  N.A.  N.A.  Click here to view item wise reward details </t>
  </si>
  <si>
    <t xml:space="preserve">EGM No. EGM Date Container No. Seal No. Error Message
R917162708  2017-8-27 0.0.0.0  WSCU8099149  399598  N.A. </t>
  </si>
  <si>
    <t xml:space="preserve">GSTIN    -    06AXXXXXXXXE4ZU
Invoice Number Invoice Date IGST Paid(INR)
XXXXXXXXXXXXXX718  2017-08-16  53456 </t>
  </si>
  <si>
    <t xml:space="preserve">IEC CHA No. Job No. Job Date Port of Discharge Total Package Gross Weight (Kg) FOB(INR) Total Cess (INR) Drawback STR Total (DBK+STR) CIN NO. CIN DT. Reward Flag
0511026242  AABCC8115GCH002  5508126  21 AUG 2017 12:08  LKCMB  8  199  237937.5  0  0  0  0  N.A.  N.A.  Click here to view item wise reward details </t>
  </si>
  <si>
    <t xml:space="preserve">Current Que LEO Date EP Copy Print Status DBK Scroll No Scroll Date EGM Integration Status
HIST  24 AUG 2017 00:08  Y  N.A.  N.A.  Y </t>
  </si>
  <si>
    <t xml:space="preserve">EGM No. EGM Date Container No. Seal No. Error Message
T877720509  2017-9-5 0.0.0.0  TCNU9608445  401062  N.A. </t>
  </si>
  <si>
    <t xml:space="preserve">GSTIN    -    06AXXXXXXXXN1Z9
Invoice Number Invoice Date IGST Paid(INR)
XXXXXXXX-18  2017-08-21  43227 </t>
  </si>
  <si>
    <t xml:space="preserve">AWB No. Gateway Port Gateway EGM No. Gateway EGM Date Gateway Site ID Error Code
N.A.  INNSA1  134462  2017-09-04 00:00:00.0  INNSA1  S </t>
  </si>
  <si>
    <t xml:space="preserve">IEC CHA No. Job No. Job Date Port of Discharge Total Package Gross Weight (Kg) FOB(INR) Total Cess (INR) Drawback STR Total (DBK+STR) CIN NO. CIN DT. Reward Flag
0288012101  AHRPD2201LCH001  5509928  21 AUG 2017 12:08  AEJEA  140  1890  1580843.92  0  41102  0  41102  N.A.  N.A.  Click here to view item wise reward details </t>
  </si>
  <si>
    <t xml:space="preserve">Current Que LEO Date EP Copy Print Status DBK Scroll No Scroll Date EGM Integration Status
HIST  25 AUG 2017 00:08  Y  21652/2017  14 SEP 2017 00:09  Y </t>
  </si>
  <si>
    <t xml:space="preserve">EGM No. EGM Date Container No. Seal No. Error Message
R317382808  2017-8-28 0.0.0.0  HJMU2911781  400157  N.A. </t>
  </si>
  <si>
    <t xml:space="preserve">GSTIN    -    06AXXXXXXXXQ1ZQ
Invoice Number Invoice Date IGST Paid(INR)
XXXXXXXXXXXX003  2017-08-18  285450 </t>
  </si>
  <si>
    <t xml:space="preserve">AWB No. Gateway Port Gateway EGM No. Gateway EGM Date Gateway Site ID Error Code
N.A.  INMUN1  134134  2017-08-29 00:00:00.0  INMUN1  S </t>
  </si>
  <si>
    <t xml:space="preserve">IEC CHA No. Job No. Job Date Port of Discharge Total Package Gross Weight (Kg) FOB(INR) Total Cess (INR) Drawback STR Total (DBK+STR) CIN NO. CIN DT. Reward Flag
0288012101  AHRPD2201LCH001  5509926  21 AUG 2017 12:08  AEJEA  122  1544.6  768734.68  0  10959  0  10959  N.A.  N.A.  Click here to view item wise reward details </t>
  </si>
  <si>
    <t xml:space="preserve">GSTIN    -    06AXXXXXXXXQ1ZQ
Invoice Number Invoice Date IGST Paid(INR)
XXXXXXXXXXXX004  2017-08-18  139269 </t>
  </si>
  <si>
    <t>2017/08/22</t>
  </si>
  <si>
    <t xml:space="preserve">IEC CHA No. Job No. Job Date Port of Discharge Total Package Gross Weight (Kg) FOB(INR) Total Cess (INR) Drawback STR Total (DBK+STR) CIN NO. CIN DT. Reward Flag
0595012647  AAACC6689ECH001  5524445  22 AUG 2017 12:08  PKKHI  777  9526  3095252.8  0  46429  0  46429  N.A.  N.A.  Click here to view item wise reward details </t>
  </si>
  <si>
    <t xml:space="preserve">Current Que LEO Date EP Copy Print Status DBK Scroll No Scroll Date EGM Integration Status
HIST  01 SEP 2017 00:09  Y  21843/2017  21 SEP 2017 00:09  Y </t>
  </si>
  <si>
    <t xml:space="preserve">EGM No. EGM Date Container No. Seal No. Error Message
J187200809  2017-9-8 0.0.0.0  BMOU6028286  401251  N.A. </t>
  </si>
  <si>
    <t xml:space="preserve">GSTIN    -    07AXXXXXXXXB1ZR
Invoice Number Invoice Date IGST Paid(INR)
XXXXXXXXX-18  2017-08-12  371424 </t>
  </si>
  <si>
    <t xml:space="preserve">AWB No. Gateway Port Gateway EGM No. Gateway EGM Date Gateway Site ID Error Code
N.A.  INMUN1  134209  2017-08-30 00:00:00.0  INMUN1  S </t>
  </si>
  <si>
    <t xml:space="preserve">IEC CHA No. Job No. Job Date Port of Discharge Total Package Gross Weight (Kg) FOB(INR) Total Cess (INR) Drawback STR Total (DBK+STR) CIN NO. CIN DT. Reward Flag
0595012647  AAACC6689ECH001  5525781  22 AUG 2017 12:08  PKKHI  243  2346  1269897.18  0  19048  0  19048  N.A.  N.A.  Click here to view item wise reward details </t>
  </si>
  <si>
    <t xml:space="preserve">GSTIN    -    07AXXXXXXXXB1ZR
Invoice Number Invoice Date IGST Paid(INR)
XXXXXXXXX-18  2017-08-19  152387 </t>
  </si>
  <si>
    <t xml:space="preserve">IEC CHA No. Job No. Job Date Port of Discharge Total Package Gross Weight (Kg) FOB(INR) Total Cess (INR) Drawback STR Total (DBK+STR) CIN NO. CIN DT. Reward Flag
0591028549  AAECB3928MCH001  5535182  22 AUG 2017 12:08  USHOU  1  271.647  252848.25  0  0  0  0  N.A.  N.A.  Click here to view item wise reward details </t>
  </si>
  <si>
    <t xml:space="preserve">Current Que LEO Date EP Copy Print Status DBK Scroll No Scroll Date EGM Integration Status
HIST  25 AUG 2017 00:08  Y  N.A.  N.A.  Y </t>
  </si>
  <si>
    <t xml:space="preserve">EGM No. EGM Date Container No. Seal No. Error Message
T707121409  2017-9-14 0.0.0.0  PONU1385155  401038  N.A. </t>
  </si>
  <si>
    <t xml:space="preserve">GSTIN    -    06AXXXXXXXXJ2ZR
Invoice Number Invoice Date IGST Paid(INR)
XXXXX-18  2017-08-21  45511 </t>
  </si>
  <si>
    <t xml:space="preserve">AWB No. Gateway Port Gateway EGM No. Gateway EGM Date Gateway Site ID Error Code
N.A.  INNSA1  133453  2017-08-17 00:00:00.0  INNSA1  S </t>
  </si>
  <si>
    <t xml:space="preserve">IEC CHA No. Job No. Job Date Port of Discharge Total Package Gross Weight (Kg) FOB(INR) Total Cess (INR) Drawback STR Total (DBK+STR) CIN NO. CIN DT. Reward Flag
3104003254  AAACA3307KCH003  5536680  22 AUG 2017 12:08  ARBUE  1  15  90073.62  0  2262  0  2262  N.A.  N.A.  Click here to view item wise reward details </t>
  </si>
  <si>
    <t xml:space="preserve">Current Que LEO Date EP Copy Print Status DBK Scroll No Scroll Date EGM Integration Status
HIST  04 SEP 2017 00:09  Y  21843/2017  21 SEP 2017 00:09  Y </t>
  </si>
  <si>
    <t xml:space="preserve">EGM No. EGM Date Container No. Seal No. Error Message
J207160709  2017-9-7 0.0.0.0  TCNU3029050  401092  N.A. </t>
  </si>
  <si>
    <t xml:space="preserve">GSTIN    -    27AXXXXXXXXR1ZF
Invoice Number Invoice Date IGST Paid(INR)
XXXXXXXXXXXX-18  2017-08-07  19042 </t>
  </si>
  <si>
    <t xml:space="preserve">IEC CHA No. Job No. Job Date Port of Discharge Total Package Gross Weight (Kg) FOB(INR) Total Cess (INR) Drawback STR Total (DBK+STR) CIN NO. CIN DT. Reward Flag
0504038966  AARPK1504ACH001  5540056  22 AUG 2017 12:08  DEHAM  2  660  193947.86  0  3879  0  3879  N.A.  N.A.  Click here to view item wise reward details </t>
  </si>
  <si>
    <t xml:space="preserve">EGM No. EGM Date Container No. Seal No. Error Message
T677920109  2017-9-1 0.0.0.0  CMAU0445325  400284  N.A. </t>
  </si>
  <si>
    <t xml:space="preserve">GSTIN    -    06AXXXXXXXXD1ZM
Invoice Number Invoice Date IGST Paid(INR)
XXX-02  2017-08-22  54305 </t>
  </si>
  <si>
    <t xml:space="preserve">AWB No. Gateway Port Gateway EGM No. Gateway EGM Date Gateway Site ID Error Code
N.A.  INMUN1  134487  2017-09-04 00:00:00.0  INMUN1  S </t>
  </si>
  <si>
    <t>2017/08/23</t>
  </si>
  <si>
    <t xml:space="preserve">IEC CHA No. Job No. Job Date Port of Discharge Total Package Gross Weight (Kg) FOB(INR) Total Cess (INR) Drawback STR Total (DBK+STR) CIN NO. CIN DT. Reward Flag
0505023954  AACFL6638BCH001  5547103  23 AUG 2017 12:08  BEANR  3  150  891549.91  0  0  0  0  N.A.  N.A.  Click here to view item wise reward details </t>
  </si>
  <si>
    <t xml:space="preserve">EGM No. EGM Date Container No. Seal No. Error Message
R267422908  2017-8-29 0.0.0.0  WHLU5156390  400214  N.A. </t>
  </si>
  <si>
    <t xml:space="preserve">GSTIN    -    06AXXXXXXXXJ1ZG
Invoice Number Invoice Date IGST Paid(INR)
XXXXXXXXXX177  2017-08-22  190911 </t>
  </si>
  <si>
    <t xml:space="preserve">IEC CHA No. Job No. Job Date Port of Discharge Total Package Gross Weight (Kg) FOB(INR) Total Cess (INR) Drawback STR Total (DBK+STR) CIN NO. CIN DT. Reward Flag
0505000873  AOWPS6493KCH001  5558202  23 AUG 2017 12:08  MYPKG  4  3410  809907.53  0  16198  0  16198  N.A.  N.A.  Click here to view item wise reward details </t>
  </si>
  <si>
    <t xml:space="preserve">Current Que LEO Date EP Copy Print Status DBK Scroll No Scroll Date EGM Integration Status
HIST  26 AUG 2017 00:08  Y  21843/2017  21 SEP 2017 00:09  Y </t>
  </si>
  <si>
    <t xml:space="preserve">EGM No. EGM Date Container No. Seal No. Error Message
R507320309  2017-9-3 0.0.0.0  YMLU3007152  401008  N.A. </t>
  </si>
  <si>
    <t xml:space="preserve">GSTIN    -    07AXXXXXXXXB1ZS
Invoice Number Invoice Date IGST Paid(INR)
XXXXXXX017  2017-08-10  81770 </t>
  </si>
  <si>
    <t>2017/08/24</t>
  </si>
  <si>
    <t xml:space="preserve">IEC CHA No. Job No. Job Date Port of Discharge Total Package Gross Weight (Kg) FOB(INR) Total Cess (INR) Drawback STR Total (DBK+STR) CIN NO. CIN DT. Reward Flag
0507042034  AALFA6988NCH001  5569861  24 AUG 2017 12:08  ILASH  633  17406.6  2535422.66  0  38031  0  38031  N.A.  N.A.  Click here to view item wise reward details </t>
  </si>
  <si>
    <t xml:space="preserve">EGM No. EGM Date Container No. Seal No. Error Message
J247502908  2017-8-29 0.0.0.0  CRSU1065595  400161  N.A. </t>
  </si>
  <si>
    <t xml:space="preserve">GSTIN    -    06AXXXXXXXXC1ZF
Invoice Number Invoice Date IGST Paid(INR)
960  2017-08-22  471225 </t>
  </si>
  <si>
    <t xml:space="preserve">AWB No. Gateway Port Gateway EGM No. Gateway EGM Date Gateway Site ID Error Code
N.A.  INMUN1  133789  2017-08-23 00:00:00.0  INMUN1  S </t>
  </si>
  <si>
    <t xml:space="preserve">IEC CHA No. Job No. Job Date Port of Discharge Total Package Gross Weight (Kg) FOB(INR) Total Cess (INR) Drawback STR Total (DBK+STR) CIN NO. CIN DT. Reward Flag
0510085423  AHDPK8975CCH001  5572365  24 AUG 2017 12:08  LVRIX  16  148.8  36214.09  0  3220  0  3220  N.A.  N.A.  Click here to view item wise reward details </t>
  </si>
  <si>
    <t xml:space="preserve">EGM No. EGM Date Container No. Seal No. Error Message
T987883108  2017-8-31 0.0.0.0  FSCU9016795  400271  N.A. </t>
  </si>
  <si>
    <t xml:space="preserve">GSTIN    -    07AXXXXXXXXK1ZW
Invoice Number Invoice Date IGST Paid(INR)
XXXXXXXXXXXX-36  2017-08-21  4344 </t>
  </si>
  <si>
    <t xml:space="preserve">IEC CHA No. Job No. Job Date Port of Discharge Total Package Gross Weight (Kg) FOB(INR) Total Cess (INR) Drawback STR Total (DBK+STR) CIN NO. CIN DT. Reward Flag
AAKFN5762C  AADCA0273BCH001  5585306  24 AUG 2017 12:08  NZAKL  3  87  35214.75  0  0  0  0  N.A.  N.A.  Click here to view item wise reward details </t>
  </si>
  <si>
    <t xml:space="preserve">Current Que LEO Date EP Copy Print Status DBK Scroll No Scroll Date EGM Integration Status
HIST  29 AUG 2017 00:08  Y  N.A.  N.A.  Y </t>
  </si>
  <si>
    <t xml:space="preserve">EGM No. EGM Date Container No. Seal No. Error Message
R87120209  2017-9-2 0.0.0.0  TCNU9495631  401027  N.A. </t>
  </si>
  <si>
    <t xml:space="preserve">GSTIN    -    07AXXXXXXXXC1Z8
Invoice Number Invoice Date IGST Paid(INR)
XXI65  2017-08-03  3897 </t>
  </si>
  <si>
    <t xml:space="preserve">AWB No. Gateway Port Gateway EGM No. Gateway EGM Date Gateway Site ID Error Code
N.A.  INNSA1  134167  2017-08-29 00:00:00.0  INNSA1  S </t>
  </si>
  <si>
    <t xml:space="preserve">IEC CHA No. Job No. Job Date Port of Discharge Total Package Gross Weight (Kg) FOB(INR) Total Cess (INR) Drawback STR Total (DBK+STR) CIN NO. CIN DT. Reward Flag
0591046270  ADWPT4152FCH001  5585990  24 AUG 2017 12:08  NGAPP  541  40313  7116296.93  0  111917  0  111917  N.A.  N.A.  Click here to view item wise reward details </t>
  </si>
  <si>
    <t xml:space="preserve">EGM No. EGM Date Container No. Seal No. Error Message
R967440909  2017-9-9 0.0.0.0  TRHU2939342  401884  N.A. </t>
  </si>
  <si>
    <t xml:space="preserve">GSTIN    -    07AXXXXXXXXP1ZU
Invoice Number Invoice Date IGST Paid(INR)
XXXXXXXXXXX-18  2017-08-23  1499760 </t>
  </si>
  <si>
    <t xml:space="preserve">AWB No. Gateway Port Gateway EGM No. Gateway EGM Date Gateway Site ID Error Code
N.A.  INMUN1  135378  2017-09-19 00:00:00.0  INMUN1  S </t>
  </si>
  <si>
    <t xml:space="preserve">IEC CHA No. Job No. Job Date Port of Discharge Total Package Gross Weight (Kg) FOB(INR) Total Cess (INR) Drawback STR Total (DBK+STR) CIN NO. CIN DT. Reward Flag
0508074321  AAGCS0053ECH003  5590629  24 AUG 2017 12:08  KEMBA  714  23222  1050935.04  0  35668  0  35668  N.A.  N.A.  Click here to view item wise reward details </t>
  </si>
  <si>
    <t xml:space="preserve">Current Que LEO Date EP Copy Print Status DBK Scroll No Scroll Date EGM Integration Status
HIST  28 AUG 2017 00:08  Y  21652/2017  14 SEP 2017 00:09  Y </t>
  </si>
  <si>
    <t xml:space="preserve">EGM No. EGM Date Container No. Seal No. Error Message
T657743008  2017-8-30 0.0.0.0  NYKU3374976  400579  N.A. </t>
  </si>
  <si>
    <t xml:space="preserve">GSTIN    -    07AXXXXXXXXB1ZP
Invoice Number Invoice Date IGST Paid(INR)
XXXXXX/17  2017-01-08  251223 </t>
  </si>
  <si>
    <t xml:space="preserve">AWB No. Gateway Port Gateway EGM No. Gateway EGM Date Gateway Site ID Error Code
N.A.  INPAV1  134074  2017-08-28 00:00:00.0  INPAV1  S </t>
  </si>
  <si>
    <t xml:space="preserve">IEC CHA No. Job No. Job Date Port of Discharge Total Package Gross Weight (Kg) FOB(INR) Total Cess (INR) Drawback STR Total (DBK+STR) CIN NO. CIN DT. Reward Flag
0510059732  ANQPS8605JCH001  5592172  24 AUG 2017 12:08  IRBND  28  222  233800.56  0  0  0  0  N.A.  N.A.  Click here to view item wise reward details </t>
  </si>
  <si>
    <t xml:space="preserve">Current Que LEO Date EP Copy Print Status DBK Scroll No Scroll Date EGM Integration Status
HIST  26 AUG 2017 00:08  Y  N.A.  N.A.  Y </t>
  </si>
  <si>
    <t xml:space="preserve">EGM No. EGM Date Container No. Seal No. Error Message
R577683008  2017-8-30 0.0.0.0  BAXU2611948  400226  N.A. </t>
  </si>
  <si>
    <t xml:space="preserve">GSTIN    -    07AXXXXXXXXK1ZY
Invoice Number Invoice Date IGST Paid(INR)
XXXXXXXX018  2017-08-16  42581 </t>
  </si>
  <si>
    <t xml:space="preserve">AWB No. Gateway Port Gateway EGM No. Gateway EGM Date Gateway Site ID Error Code
N.A.  INMUN1  140358  2017-12-08 00:00:00.0  INMUN1  ST </t>
  </si>
  <si>
    <t xml:space="preserve">IEC CHA No. Job No. Job Date Port of Discharge Total Package Gross Weight (Kg) FOB(INR) Total Cess (INR) Drawback STR Total (DBK+STR) CIN NO. CIN DT. Reward Flag
0500075158  ADXPJ1610RCH001  5598583  24 AUG 2017 12:08  USBOS  13  138  352972.35  0  34354  0  34354  N.A.  N.A.  Click here to view item wise reward details </t>
  </si>
  <si>
    <t xml:space="preserve">Current Que LEO Date EP Copy Print Status DBK Scroll No Scroll Date EGM Integration Status
HIST  26 AUG 2017 00:08  Y  24432/2018  25 MAR 2018 00:03  Y </t>
  </si>
  <si>
    <t xml:space="preserve">EGM No. EGM Date Container No. Seal No. Error Message
J207823108  2017-8-31 0.0.0.0  OOCU6867324  400241  N.A. </t>
  </si>
  <si>
    <t xml:space="preserve">ROSL Availed Amount(INR) Scroll Number Scroll Date
Y  9464  25934/2018  2018-3-20 0.0.0.0 </t>
  </si>
  <si>
    <t xml:space="preserve">GSTIN    -    07AXXXXXXXXP3ZI
Invoice Number Invoice Date IGST Paid(INR)
XXXXXXXXXXXXXX-18  2017-07-25  17522 </t>
  </si>
  <si>
    <t xml:space="preserve">AWB No. Gateway Port Gateway EGM No. Gateway EGM Date Gateway Site ID Error Code
N.A.  INMUN1  134796  2017-09-08 00:00:00.0  INMUN1  S </t>
  </si>
  <si>
    <t>2017/08/25</t>
  </si>
  <si>
    <t xml:space="preserve">IEC CHA No. Job No. Job Date Port of Discharge Total Package Gross Weight (Kg) FOB(INR) Total Cess (INR) Drawback STR Total (DBK+STR) CIN NO. CIN DT. Reward Flag
0507001061  AAECB3928MCH001  5605058  25 AUG 2017 12:08  DKAAR  3  1170  370500  0  5250  0  5250  N.A.  N.A.  Click here to view item wise reward details </t>
  </si>
  <si>
    <t xml:space="preserve">Current Que LEO Date EP Copy Print Status DBK Scroll No Scroll Date EGM Integration Status
HIST  29 AUG 2017 00:08  Y  21843/2017  21 SEP 2017 00:09  Y </t>
  </si>
  <si>
    <t xml:space="preserve">EGM No. EGM Date Container No. Seal No. Error Message
R1477100209  2017-9-2 0.0.0.0  SUDU1912157  401025  N.A. </t>
  </si>
  <si>
    <t xml:space="preserve">GSTIN    -    09AXXXXXXXXC1ZH
Invoice Number Invoice Date IGST Paid(INR)
047  2017-08-21  75492 </t>
  </si>
  <si>
    <t xml:space="preserve">IEC CHA No. Job No. Job Date Port of Discharge Total Package Gross Weight (Kg) FOB(INR) Total Cess (INR) Drawback STR Total (DBK+STR) CIN NO. CIN DT. Reward Flag
0510064663  ADMPC7074KCH001  5606562  25 AUG 2017 12:08  ZAJNB  450  8262.5  3118443.14  0  279716  0  279716  N.A.  N.A.  Click here to view item wise reward details </t>
  </si>
  <si>
    <t xml:space="preserve">EGM No. EGM Date Container No. Seal No. Error Message
R487220809  2017-9-8 0.0.0.0  TCLU5962520  401218  N.A. </t>
  </si>
  <si>
    <t xml:space="preserve">ROSL Availed Amount(INR) Scroll Number Scroll Date
Y  73774  25637/2017  2017-9-20 0.0.0.0 </t>
  </si>
  <si>
    <t xml:space="preserve">GSTIN    -    07AXXXXXXXXL1ZD
Invoice Number Invoice Date IGST Paid(INR)
XXXXXXXXX017  2017-06-28  240204 </t>
  </si>
  <si>
    <t xml:space="preserve">AWB No. Gateway Port Gateway EGM No. Gateway EGM Date Gateway Site ID Error Code
N.A.  INMUN1  134795  2017-09-08 00:00:00.0  INMUN1  S </t>
  </si>
  <si>
    <t xml:space="preserve">IEC CHA No. Job No. Job Date Port of Discharge Total Package Gross Weight (Kg) FOB(INR) Total Cess (INR) Drawback STR Total (DBK+STR) CIN NO. CIN DT. Reward Flag
AAHCC0755A  BTLPP6279BCH001  5610323  25 AUG 2017 12:08  AEJEA  78  2106  6859452.6  0  672226  0  672226  N.A.  N.A.  Click here to view item wise reward details </t>
  </si>
  <si>
    <t xml:space="preserve">EGM No. EGM Date Container No. Seal No. Error Message
T777562908  2017-8-29 0.0.0.0  MSKU8840543  400310  N.A. </t>
  </si>
  <si>
    <t xml:space="preserve">ROSL Availed Amount(INR) Scroll Number Scroll Date
Y  205784  25635/2017  2017-9-15 0.0.0.0 </t>
  </si>
  <si>
    <t xml:space="preserve">GSTIN    -    07AXXXXXXXXA1Z5
Invoice Number Invoice Date IGST Paid(INR)
XXXXXXXXXXXXX018  2017-08-22  342972 </t>
  </si>
  <si>
    <t xml:space="preserve">AWB No. Gateway Port Gateway EGM No. Gateway EGM Date Gateway Site ID Error Code
N.A.  INPAV1  132218  2017-07-26 00:00:00.0  INPAV1  S </t>
  </si>
  <si>
    <t xml:space="preserve">IEC CHA No. Job No. Job Date Port of Discharge Total Package Gross Weight (Kg) FOB(INR) Total Cess (INR) Drawback STR Total (DBK+STR) CIN NO. CIN DT. Reward Flag
AAHCC0755A  BTLPP6279BCH001  5610310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</si>
  <si>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5610328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</si>
  <si>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5613414  25 AUG 2017 12:08  AEJEA  115  2300  6694038.45  0  656016  0  656016  N.A.  N.A.  Click here to view item wise reward details </t>
  </si>
  <si>
    <t xml:space="preserve">EGM No. EGM Date Container No. Seal No. Error Message
R477723008  2017-8-30 0.0.0.0  MRKU2773364  400587  N.A. </t>
  </si>
  <si>
    <t xml:space="preserve">ROSL Availed Amount(INR) Scroll Number Scroll Date
Y  200821  25635/2017  2017-9-15 0.0.0.0 </t>
  </si>
  <si>
    <t xml:space="preserve">GSTIN    -    07AXXXXXXXXA1Z5
Invoice Number Invoice Date IGST Paid(INR)
XXXXXXXXXXXXX018  2017-08-23  334701 </t>
  </si>
  <si>
    <t xml:space="preserve">IEC CHA No. Job No. Job Date Port of Discharge Total Package Gross Weight (Kg) FOB(INR) Total Cess (INR) Drawback STR Total (DBK+STR) CIN NO. CIN DT. Reward Flag
AAHCC0755A  BTLPP6279BCH001  5613413  25 AUG 2017 12:08  AEJEA  115  2300  6694038.45  0  656016  0  656016  N.A.  N.A.  Click here to view item wise reward details </t>
  </si>
  <si>
    <t xml:space="preserve">IEC CHA No. Job No. Job Date Port of Discharge Total Package Gross Weight (Kg) FOB(INR) Total Cess (INR) Drawback STR Total (DBK+STR) CIN NO. CIN DT. Reward Flag
AAHCC0755A  BTLPP6279BCH001  5613421  25 AUG 2017 12:08  AEJEA  54  2268  6242185.62  0  611735  0  611735  N.A.  N.A.  Click here to view item wise reward details </t>
  </si>
  <si>
    <t xml:space="preserve">ROSL Availed Amount(INR) Scroll Number Scroll Date
Y  187266  25635/2017  2017-9-15 0.0.0.0 </t>
  </si>
  <si>
    <t xml:space="preserve">GSTIN    -    07AXXXXXXXXA1Z5
Invoice Number Invoice Date IGST Paid(INR)
XXXXXXXXXXXXX018  2017-08-23  312107 </t>
  </si>
  <si>
    <t>2017/08/26</t>
  </si>
  <si>
    <t xml:space="preserve">IEC CHA No. Job No. Job Date Port of Discharge Total Package Gross Weight (Kg) FOB(INR) Total Cess (INR) Drawback STR Total (DBK+STR) CIN NO. CIN DT. Reward Flag
0512081786  AAACT0334RCH001  5619782  26 AUG 2017 12:08  AEJEA  720  7632  692239.5  0  48457  0  48457  N.A.  N.A.  Click here to view item wise reward details </t>
  </si>
  <si>
    <t xml:space="preserve">EGM No. EGM Date Container No. Seal No. Error Message
T657743008  2017-8-30 0.0.0.0  MRKU5421562  400543  N.A. </t>
  </si>
  <si>
    <t xml:space="preserve">GSTIN    -    07AXXXXXXXXC1ZP
Invoice Number Invoice Date IGST Paid(INR)
XXXXXXXXXXXXXX003  2017-08-24  130572 </t>
  </si>
  <si>
    <t xml:space="preserve">AWB No. Gateway Port Gateway EGM No. Gateway EGM Date Gateway Site ID Error Code
N.A.  INPAV1  134066  2017-08-28 00:00:00.0  INPAV1  S </t>
  </si>
  <si>
    <t xml:space="preserve">IEC CHA No. Job No. Job Date Port of Discharge Total Package Gross Weight (Kg) FOB(INR) Total Cess (INR) Drawback STR Total (DBK+STR) CIN NO. CIN DT. Reward Flag
0510056601  AAIPJ7016KCH001  5621469  26 AUG 2017 12:08  THLCH  1  880  624982.5  0  3320  0  3320  N.A.  N.A.  Click here to view item wise reward details </t>
  </si>
  <si>
    <t xml:space="preserve">Current Que LEO Date EP Copy Print Status DBK Scroll No Scroll Date EGM Integration Status
HIST  30 AUG 2017 00:08  Y  21843/2017  21 SEP 2017 00:09  Y </t>
  </si>
  <si>
    <t xml:space="preserve">EGM No. EGM Date Container No. Seal No. Error Message
J277920609  2017-9-6 0.0.0.0  GVCU2190150  404072  N.A. </t>
  </si>
  <si>
    <t xml:space="preserve">GSTIN    -    08AXXXXXXXXR1Z1
Invoice Number Invoice Date IGST Paid(INR)
XXXXXXXXXXXXXX010  2017-08-25  112496 </t>
  </si>
  <si>
    <t xml:space="preserve">IEC CHA No. Job No. Job Date Port of Discharge Total Package Gross Weight (Kg) FOB(INR) Total Cess (INR) Drawback STR Total (DBK+STR) CIN NO. CIN DT. Reward Flag
0592023052  AASPK9028QCH001  5636518  26 AUG 2017 12:08  THLCH  14  7652  809303.48  0  16186  0  16186  N.A.  N.A.  Click here to view item wise reward details </t>
  </si>
  <si>
    <t xml:space="preserve">EGM No. EGM Date Container No. Seal No. Error Message
R87120209  2017-9-2 0.0.0.0  TRHU1951343  401012  N.A. </t>
  </si>
  <si>
    <t xml:space="preserve">GSTIN    -    06AXXXXXXXXE1ZX
Invoice Number Invoice Date IGST Paid(INR)
XXXXXXXXXXXXXX-18  2017-08-25  226605 </t>
  </si>
  <si>
    <t>2017/08/28</t>
  </si>
  <si>
    <t xml:space="preserve">IEC CHA No. Job No. Job Date Port of Discharge Total Package Gross Weight (Kg) FOB(INR) Total Cess (INR) Drawback STR Total (DBK+STR) CIN NO. CIN DT. Reward Flag
0515069272  BTLPP6279BCH001  5663714  28 AUG 2017 12:08  AEJEA  75  1575  5756184  0  564106  0  564106  N.A.  N.A.  Click here to view item wise reward details </t>
  </si>
  <si>
    <t xml:space="preserve">EGM No. EGM Date Container No. Seal No. Error Message
R547020109  2017-9-1 0.0.0.0  MRKU3880984  400965  N.A. </t>
  </si>
  <si>
    <t xml:space="preserve">ROSL Availed Amount(INR) Scroll Number Scroll Date
Y  172686  25635/2017  2017-9-15 0.0.0.0 </t>
  </si>
  <si>
    <t xml:space="preserve">GSTIN    -    07AXXXXXXXXA1Z9
Invoice Number Invoice Date IGST Paid(INR)
XXXXXXXXXXXXX-18  2017-08-28  287808 </t>
  </si>
  <si>
    <t xml:space="preserve">IEC CHA No. Job No. Job Date Port of Discharge Total Package Gross Weight (Kg) FOB(INR) Total Cess (INR) Drawback STR Total (DBK+STR) CIN NO. CIN DT. Reward Flag
0517513668  BTLPP6279BCH001  5666170  28 AUG 2017 12:08  AEJEA  90  1890  6907420.8  0  676928  0  676928  N.A.  N.A.  Click here to view item wise reward details </t>
  </si>
  <si>
    <t xml:space="preserve">EGM No. EGM Date Container No. Seal No. Error Message
R547020109  2017-9-1 0.0.0.0  MSKU9114648  400966  N.A. </t>
  </si>
  <si>
    <t xml:space="preserve">ROSL Availed Amount(INR) Scroll Number Scroll Date
Y  207223  25635/2017  2017-9-15 0.0.0.0 </t>
  </si>
  <si>
    <t xml:space="preserve">GSTIN    -    07AXXXXXXXXG1Z3
Invoice Number Invoice Date IGST Paid(INR)
XXXXXXXXXXXXX018  2017-08-28  345370 </t>
  </si>
  <si>
    <t xml:space="preserve">IEC CHA No. Job No. Job Date Port of Discharge Total Package Gross Weight (Kg) FOB(INR) Total Cess (INR) Drawback STR Total (DBK+STR) CIN NO. CIN DT. Reward Flag
0517513668  BTLPP6279BCH001  5666158  28 AUG 2017 12:08  AEJEA  90  1890  6907420.8  0  676928  0  676928  N.A.  N.A.  Click here to view item wise reward details </t>
  </si>
  <si>
    <t>2017/08/29</t>
  </si>
  <si>
    <t xml:space="preserve">IEC CHA No. Job No. Job Date Port of Discharge Total Package Gross Weight (Kg) FOB(INR) Total Cess (INR) Drawback STR Total (DBK+STR) CIN NO. CIN DT. Reward Flag
0505088681  AAJPM0767BCH001  5680836  29 AUG 2017 12:08  AEJEA  21  19494.6  6704608.94  0  70954  0  70954  N.A.  N.A.  Click here to view item wise reward details </t>
  </si>
  <si>
    <t xml:space="preserve">EGM No. EGM Date Container No. Seal No. Error Message
J477680509  2017-9-5 0.0.0.0  CRXU3303349  401228  N.A. </t>
  </si>
  <si>
    <t xml:space="preserve">GSTIN    -    09AXXXXXXXXG1Z5
Invoice Number Invoice Date IGST Paid(INR)
XXXXX931  2017-08-26  1880086 </t>
  </si>
  <si>
    <t xml:space="preserve">AWB No. Gateway Port Gateway EGM No. Gateway EGM Date Gateway Site ID Error Code
N.A.  INMUN1  134406  2017-09-01 00:00:00.0  INMUN1  S </t>
  </si>
  <si>
    <t xml:space="preserve">IEC CHA No. Job No. Job Date Port of Discharge Total Package Gross Weight (Kg) FOB(INR) Total Cess (INR) Drawback STR Total (DBK+STR) CIN NO. CIN DT. Reward Flag
0507062884  AYZPP5973GCH001  5681602  29 AUG 2017 12:08  BRSSZ  51  2986  1702937  0  34059  0  34059  N.A.  N.A.  Click here to view item wise reward details </t>
  </si>
  <si>
    <t xml:space="preserve">EGM No. EGM Date Container No. Seal No. Error Message
J477680509  2017-9-5 0.0.0.0  TRIU9841182  003229  N.A. </t>
  </si>
  <si>
    <t xml:space="preserve">GSTIN    -    09AXXXXXXXXJ1Z6
Invoice Number Invoice Date IGST Paid(INR)
XXXXXXXXXXX018  2017-08-26  306522 </t>
  </si>
  <si>
    <t xml:space="preserve">AWB No. Gateway Port Gateway EGM No. Gateway EGM Date Gateway Site ID Error Code
N.A.  INMUN1  134923  2017-09-12 00:00:00.0  INMUN1  S </t>
  </si>
  <si>
    <t>2017/08/30</t>
  </si>
  <si>
    <t xml:space="preserve">IEC CHA No. Job No. Job Date Port of Discharge Total Package Gross Weight (Kg) FOB(INR) Total Cess (INR) Drawback STR Total (DBK+STR) CIN NO. CIN DT. Reward Flag
0509003061  AAECB3928MCH001  5701029  30 AUG 2017 12:08  USCVG  4  640  337277.35  0  6746  0  6746  N.A.  N.A.  Click here to view item wise reward details </t>
  </si>
  <si>
    <t xml:space="preserve">EGM No. EGM Date Container No. Seal No. Error Message
R487220809  2017-9-8 0.0.0.0  OOLU9558367  401081  N.A. </t>
  </si>
  <si>
    <t xml:space="preserve">GSTIN    -    06AXXXXXXXXK1ZV
Invoice Number Invoice Date IGST Paid(INR)
XXXXXXXXXX070  2017-08-23  40091 
XXXXXXXXXX071  2017-08-23  54341 </t>
  </si>
  <si>
    <t xml:space="preserve">AWB No. Gateway Port Gateway EGM No. Gateway EGM Date Gateway Site ID Error Code
N.A.  INMUN1  132131  2017-07-25 00:00:00.0  INMUN1  S </t>
  </si>
  <si>
    <t xml:space="preserve">IEC CHA No. Job No. Job Date Port of Discharge Total Package Gross Weight (Kg) FOB(INR) Total Cess (INR) Drawback STR Total (DBK+STR) CIN NO. CIN DT. Reward Flag
2416910671  FHMPS1058ECH001  5701162  30 AUG 2017 12:08  USLUA  1  88.3  94223.25  0  0  0  0  N.A.  N.A.  Click here to view item wise reward details </t>
  </si>
  <si>
    <t xml:space="preserve">Current Que LEO Date EP Copy Print Status DBK Scroll No Scroll Date EGM Integration Status
HIST  01 SEP 2017 00:09  Y  N.A.  N.A.  Y </t>
  </si>
  <si>
    <t xml:space="preserve">EGM No. EGM Date Container No. Seal No. Error Message
J207160709  2017-9-7 0.0.0.0  NYKU5457534  401087  N.A. </t>
  </si>
  <si>
    <t xml:space="preserve">GSTIN    -    24AXXXXXXXXA1ZY
Invoice Number Invoice Date IGST Paid(INR)
23  2017-08-28  17510 </t>
  </si>
  <si>
    <t xml:space="preserve">AWB No. Gateway Port Gateway EGM No. Gateway EGM Date Gateway Site ID Error Code
N.A.  INNSA1  133327  2017-08-16 00:00:00.0  INNSA1  S </t>
  </si>
  <si>
    <t xml:space="preserve">IEC CHA No. Job No. Job Date Port of Discharge Total Package Gross Weight (Kg) FOB(INR) Total Cess (INR) Drawback STR Total (DBK+STR) CIN NO. CIN DT. Reward Flag
0595021255  AALCS5528DCH001  5703293  30 AUG 2017 12:08  MXZLO  6  3680  719776.8  0  14396  0  14396  N.A.  N.A.  Click here to view item wise reward details </t>
  </si>
  <si>
    <t xml:space="preserve">Current Que LEO Date EP Copy Print Status DBK Scroll No Scroll Date EGM Integration Status
HIST  01 SEP 2017 00:09  Y  24432/2018  25 MAR 2018 00:03  Y </t>
  </si>
  <si>
    <t xml:space="preserve">EGM No. EGM Date Container No. Seal No. Error Message
R1477641709  2017-9-17 0.0.0.0  TTNU9450840  402656  N.A. </t>
  </si>
  <si>
    <t xml:space="preserve">GSTIN    -    06AXXXXXXXXH1ZU
Invoice Number Invoice Date IGST Paid(INR)
XXXXXXXXXX-18  2017-08-29  129559 </t>
  </si>
  <si>
    <t xml:space="preserve">AWB No. Gateway Port Gateway EGM No. Gateway EGM Date Gateway Site ID Error Code
N.A.  INNSA1  135507  2017-09-21 00:00:00.0  INNSA1  S </t>
  </si>
  <si>
    <t xml:space="preserve">IEC CHA No. Job No. Job Date Port of Discharge Total Package Gross Weight (Kg) FOB(INR) Total Cess (INR) Drawback STR Total (DBK+STR) CIN NO. CIN DT. Reward Flag
1308012381  AEOPA9390KCH001  5718032  30 AUG 2017 12:08  JPNGY  2  496.5  770850  0  15417  0  15417  N.A.  N.A.  Click here to view item wise reward details </t>
  </si>
  <si>
    <t xml:space="preserve">EGM No. EGM Date Container No. Seal No. Error Message
TX187901209  2017-9-12 0.0.0.0  BMOU2854715  402096  N.A. </t>
  </si>
  <si>
    <t xml:space="preserve">GSTIN    -    08AXXXXXXXXR1ZR
Invoice Number Invoice Date IGST Paid(INR)
XXXXXXXXXXXXX113  2017-08-28  390656 </t>
  </si>
  <si>
    <t xml:space="preserve">AWB No. Gateway Port Gateway EGM No. Gateway EGM Date Gateway Site ID Error Code
N.A.  INPAV1  134495  2017-09-04 00:00:00.0  INPAV1  S </t>
  </si>
  <si>
    <t xml:space="preserve">IEC CHA No. Job No. Job Date Port of Discharge Total Package Gross Weight (Kg) FOB(INR) Total Cess (INR) Drawback STR Total (DBK+STR) CIN NO. CIN DT. Reward Flag
0516954725  AAACC6689ECH001  5718150  30 AUG 2017 12:08  OMSOH  10  335  310905  0  0  0  0  N.A.  N.A.  Click here to view item wise reward details </t>
  </si>
  <si>
    <t xml:space="preserve">Current Que LEO Date EP Copy Print Status DBK Scroll No Scroll Date EGM Integration Status
HIST  05 SEP 2017 00:09  Y  N.A.  N.A.  Y </t>
  </si>
  <si>
    <t xml:space="preserve">EGM No. EGM Date Container No. Seal No. Error Message
R587480909  2017-9-9 0.0.0.0  CAIU8999547  402029  N.A. </t>
  </si>
  <si>
    <t xml:space="preserve">GSTIN    -    07AXXXXXXXXH1ZZ
Invoice Number Invoice Date IGST Paid(INR)
XXXXXXXX154  2017-08-11  12420 </t>
  </si>
  <si>
    <t xml:space="preserve">AWB No. Gateway Port Gateway EGM No. Gateway EGM Date Gateway Site ID Error Code
N.A.  INMUN1  134870  2017-09-11 00:00:00.0  INMUN1  S </t>
  </si>
  <si>
    <t xml:space="preserve">IEC CHA No. Job No. Job Date Port of Discharge Total Package Gross Weight (Kg) FOB(INR) Total Cess (INR) Drawback STR Total (DBK+STR) CIN NO. CIN DT. Reward Flag
0592023052  AACCP0287DCH001  5718172  30 AUG 2017 12:08  USNNY  22  8958.4  1942666.42  0  38853  0  38853  N.A.  N.A.  Click here to view item wise reward details </t>
  </si>
  <si>
    <t xml:space="preserve">Current Que LEO Date EP Copy Print Status DBK Scroll No Scroll Date EGM Integration Status
HIST  05 SEP 2017 00:09  Y  21843/2017  21 SEP 2017 00:09  Y </t>
  </si>
  <si>
    <t xml:space="preserve">EGM No. EGM Date Container No. Seal No. Error Message
R917840609  2017-9-6 0.0.0.0  MSKU3385339  031724  N.A. </t>
  </si>
  <si>
    <t xml:space="preserve">GSTIN    -    06AXXXXXXXXE4ZU
Invoice Number Invoice Date IGST Paid(INR)
XXXXXXXXXXXXXX-18  2017-08-26  543895 </t>
  </si>
  <si>
    <t xml:space="preserve">AWB No. Gateway Port Gateway EGM No. Gateway EGM Date Gateway Site ID Error Code
N.A.  INPAV1  134667  2017-09-07 00:00:00.0  INMAA1  MC </t>
  </si>
  <si>
    <t xml:space="preserve">IEC CHA No. Job No. Job Date Port of Discharge Total Package Gross Weight (Kg) FOB(INR) Total Cess (INR) Drawback STR Total (DBK+STR) CIN NO. CIN DT. Reward Flag
0507081668  AOFPS8466PCH001  5720175  30 AUG 2017 12:08  YEADE  5  84  670086.3  0  13245  0  13245  N.A.  N.A.  Click here to view item wise reward details </t>
  </si>
  <si>
    <t xml:space="preserve">Current Que LEO Date EP Copy Print Status DBK Scroll No Scroll Date EGM Integration Status
HIST  06 SEP 2017 00:09  Y  21843/2017  21 SEP 2017 00:09  Y </t>
  </si>
  <si>
    <t xml:space="preserve">EGM No. EGM Date Container No. Seal No. Error Message
T707360909  2017-9-9 0.0.0.0  CAXU9973575  402040  N.A. </t>
  </si>
  <si>
    <t xml:space="preserve">GSTIN    -    07AXXXXXXXXK1Z3
Invoice Number Invoice Date IGST Paid(INR)
XXXXXXX010  2017-08-30  122178 </t>
  </si>
  <si>
    <t xml:space="preserve">AWB No. Gateway Port Gateway EGM No. Gateway EGM Date Gateway Site ID Error Code
N.A.  INNSA1  137304  2017-10-23 00:00:00.0  INNSA1  S </t>
  </si>
  <si>
    <t>2017/08/31</t>
  </si>
  <si>
    <t xml:space="preserve">IEC CHA No. Job No. Job Date Port of Discharge Total Package Gross Weight (Kg) FOB(INR) Total Cess (INR) Drawback STR Total (DBK+STR) CIN NO. CIN DT. Reward Flag
0595012647  AAACC6689ECH001  5728705  31 AUG 2017 12:08  PKKHI  3464  46749  7708850.14  0  115633  0  115633  N.A.  N.A.  Click here to view item wise reward details </t>
  </si>
  <si>
    <t xml:space="preserve">Current Que LEO Date EP Copy Print Status DBK Scroll No Scroll Date EGM Integration Status
HIST  08 SEP 2017 00:09  Y  21843/2017  21 SEP 2017 00:09  Y </t>
  </si>
  <si>
    <t xml:space="preserve">EGM No. EGM Date Container No. Seal No. Error Message
R587480909  2017-9-9 0.0.0.0  BMOU6357717  001864  N.A. </t>
  </si>
  <si>
    <t xml:space="preserve">GSTIN    -    07AXXXXXXXXB1ZR
Invoice Number Invoice Date IGST Paid(INR)
XXXXXXXXX/18  2017-08-30  925056 </t>
  </si>
  <si>
    <t xml:space="preserve">IEC CHA No. Job No. Job Date Port of Discharge Total Package Gross Weight (Kg) FOB(INR) Total Cess (INR) Drawback STR Total (DBK+STR) CIN NO. CIN DT. Reward Flag
0500075158  ADXPJ1610RCH001  5741989  31 AUG 2017 12:08  USBOS  9  122  157324.28  0  12113  0  12113  N.A.  N.A.  Click here to view item wise reward details </t>
  </si>
  <si>
    <t xml:space="preserve">ROSL Availed Amount(INR) Scroll Number Scroll Date
Y  5034  25637/2017  2017-9-20 0.0.0.0 </t>
  </si>
  <si>
    <t xml:space="preserve">GSTIN    -    07AXXXXXXXXP3ZI
Invoice Number Invoice Date IGST Paid(INR)
XXXXXXXXXXXXXX-18  2017-08-10  7809 </t>
  </si>
  <si>
    <t xml:space="preserve">IEC CHA No. Job No. Job Date Port of Discharge Total Package Gross Weight (Kg) FOB(INR) Total Cess (INR) Drawback STR Total (DBK+STR) CIN NO. CIN DT. Reward Flag
0508073324  AAACG3100CCH001  5753042  31 AUG 2017 12:08  NLRTM  64  713.19  1076457.37  0  19714  0  19714  N.A.  N.A.  Click here to view item wise reward details </t>
  </si>
  <si>
    <t xml:space="preserve">EGM No. EGM Date Container No. Seal No. Error Message
R827781109  2017-9-11 0.0.0.0  GLDU5619874  402076  N.A. </t>
  </si>
  <si>
    <t xml:space="preserve">GSTIN    -    09AXXXXXXXXD2Z7
Invoice Number Invoice Date IGST Paid(INR)
XXXXXXXX-18  2017-08-08  2073 </t>
  </si>
  <si>
    <t xml:space="preserve">AWB No. Gateway Port Gateway EGM No. Gateway EGM Date Gateway Site ID Error Code
N.A.  INNSA1  134500  2017-09-04 00:00:00.0  INNSA1  STC </t>
  </si>
  <si>
    <t xml:space="preserve">IEC CHA No. Job No. Job Date Port of Discharge Total Package Gross Weight (Kg) FOB(INR) Total Cess (INR) Drawback STR Total (DBK+STR) CIN NO. CIN DT. Reward Flag
0506035182  AFYPK1878FCH001  5757084  31 AUG 2017 12:08  IRBND  536  6822.1  1774782.75  0  26622  0  26622  N.A.  N.A.  Click here to view item wise reward details </t>
  </si>
  <si>
    <t xml:space="preserve">Current Que LEO Date EP Copy Print Status DBK Scroll No Scroll Date EGM Integration Status
HIST  07 SEP 2017 00:09  Y  21843/2017  21 SEP 2017 00:09  Y </t>
  </si>
  <si>
    <t xml:space="preserve">EGM No. EGM Date Container No. Seal No. Error Message
R717581009  2017-9-10 0.0.0.0  TSAU2702857  402113  N.A. </t>
  </si>
  <si>
    <t xml:space="preserve">GSTIN    -    07AXXXXXXXXL1ZB
Invoice Number Invoice Date IGST Paid(INR)
XXXXXXXXXXX017  2017-08-28  213152 </t>
  </si>
  <si>
    <t>2017/09/01</t>
  </si>
  <si>
    <t xml:space="preserve">IEC CHA No. Job No. Job Date Port of Discharge Total Package Gross Weight (Kg) FOB(INR) Total Cess (INR) Drawback STR Total (DBK+STR) CIN NO. CIN DT. Reward Flag
0597069948  AAAFJ1721HCH058  5778787  01 SEP 2017 12:09  DKCPH  1  26.5  127452  0  0  0  0  N.A.  N.A.  Click here to view item wise reward details </t>
  </si>
  <si>
    <t xml:space="preserve">EGM No. EGM Date Container No. Seal No. Error Message
R1117461609  2017-9-16 0.0.0.0  HASU4843951  402672  N.A. </t>
  </si>
  <si>
    <t xml:space="preserve">GSTIN    -    07AXXXXXXXXD1ZG
Invoice Number Invoice Date IGST Paid(INR)
XXXXXXXXXX/18  2017-08-25  23374 </t>
  </si>
  <si>
    <t xml:space="preserve">AWB No. Gateway Port Gateway EGM No. Gateway EGM Date Gateway Site ID Error Code
N.A.  INMUN1  133179  2017-08-11 00:00:00.0  INMUN1  S </t>
  </si>
  <si>
    <t xml:space="preserve">IEC CHA No. Job No. Job Date Port of Discharge Total Package Gross Weight (Kg) FOB(INR) Total Cess (INR) Drawback STR Total (DBK+STR) CIN NO. CIN DT. Reward Flag
1308012381  AADCS9253MCH002  5779425  01 SEP 2017 12:09  DEHAM  131  11339  14020763.33  0  280415  0  280415  N.A.  N.A.  Click here to view item wise reward details </t>
  </si>
  <si>
    <t xml:space="preserve">EGM No. EGM Date Container No. Seal No. Error Message
T987040709  2017-9-7 0.0.0.0  TCLU5779294  014691  N.A. </t>
  </si>
  <si>
    <t xml:space="preserve">GSTIN    -    08AXXXXXXXXR1ZR
Invoice Number Invoice Date IGST Paid(INR)
XXXXXXXXXXXXXX115  2017-08-30  3925803 </t>
  </si>
  <si>
    <t xml:space="preserve">AWB No. Gateway Port Gateway EGM No. Gateway EGM Date Gateway Site ID Error Code
N.A.  INMUN1  137035  2017-10-16 00:00:00.0  INMUN1  S </t>
  </si>
  <si>
    <t xml:space="preserve">IEC CHA No. Job No. Job Date Port of Discharge Total Package Gross Weight (Kg) FOB(INR) Total Cess (INR) Drawback STR Total (DBK+STR) CIN NO. CIN DT. Reward Flag
0509056105  AHVPD5199DCH001  5782425  01 SEP 2017 12:09  PLGDY  1  420  188434.82  0  3769  0  3769  N.A.  N.A.  Click here to view item wise reward details </t>
  </si>
  <si>
    <t xml:space="preserve">EGM No. EGM Date Container No. Seal No. Error Message
R827781109  2017-9-11 0.0.0.0  BAXU5005517  402092  N.A. </t>
  </si>
  <si>
    <t xml:space="preserve">GSTIN    -    06AXXXXXXXXQ1ZK
Invoice Number Invoice Date IGST Paid(INR)
XXXX868  2017-08-21  33918 </t>
  </si>
  <si>
    <t>2017/09/02</t>
  </si>
  <si>
    <t xml:space="preserve">IEC CHA No. Job No. Job Date Port of Discharge Total Package Gross Weight (Kg) FOB(INR) Total Cess (INR) Drawback STR Total (DBK+STR) CIN NO. CIN DT. Reward Flag
0512072388  AHVPD5199DCH001  5796038  02 SEP 2017 12:09  ZWHRE  271  6053  547672.48  0  0  0  0  N.A.  N.A.  Click here to view item wise reward details </t>
  </si>
  <si>
    <t xml:space="preserve">Current Que LEO Date EP Copy Print Status DBK Scroll No Scroll Date EGM Integration Status
HIST  15 SEP 2017 00:09  Y  N.A.  N.A.  Y </t>
  </si>
  <si>
    <t xml:space="preserve">EGM No. EGM Date Container No. Seal No. Error Message
J477982609  2017-9-26 0.0.0.0  SEGU1281597  404224  N.A. </t>
  </si>
  <si>
    <t xml:space="preserve">GSTIN    -    07AXXXXXXXXF1Z0
Invoice Number Invoice Date IGST Paid(INR)
XXXXXXXXX-18  2017-09-01  103520 </t>
  </si>
  <si>
    <t>2017/09/04</t>
  </si>
  <si>
    <t xml:space="preserve">IEC CHA No. Job No. Job Date Port of Discharge Total Package Gross Weight (Kg) FOB(INR) Total Cess (INR) Drawback STR Total (DBK+STR) CIN NO. CIN DT. Reward Flag
0311014879  BEVPS0859HCH001  5809753  04 SEP 2017 12:09  DEHAM  579  8625  1037597.5  0  0  0  0  N.A.  N.A.  Click here to view item wise reward details </t>
  </si>
  <si>
    <t xml:space="preserve">EGM No. EGM Date Container No. Seal No. Error Message
R687621009  2017-9-10 0.0.0.0  CAXU8041890  402039  N.A. </t>
  </si>
  <si>
    <t xml:space="preserve">GSTIN    -    27AXXXXXXXXE1ZE
Invoice Number Invoice Date IGST Paid(INR)
XXXXXXXX-18  2017-08-24  303975 </t>
  </si>
  <si>
    <t xml:space="preserve">AWB No. Gateway Port Gateway EGM No. Gateway EGM Date Gateway Site ID Error Code
N.A.  INMUN1  134793  2017-09-08 00:00:00.0  INMUN1  C </t>
  </si>
  <si>
    <t xml:space="preserve">IEC CHA No. Job No. Job Date Port of Discharge Total Package Gross Weight (Kg) FOB(INR) Total Cess (INR) Drawback STR Total (DBK+STR) CIN NO. CIN DT. Reward Flag
0505000873  AOWPS6493KCH001  5810306  04 SEP 2017 12:09  THBKK  3  2335  718793.33  0  14376  0  14376  N.A.  N.A.  Click here to view item wise reward details </t>
  </si>
  <si>
    <t xml:space="preserve">EGM No. EGM Date Container No. Seal No. Error Message
R857260809  2017-9-8 0.0.0.0  BMOU6363160  402005  N.A. </t>
  </si>
  <si>
    <t xml:space="preserve">GSTIN    -    07AXXXXXXXXB1ZS
Invoice Number Invoice Date IGST Paid(INR)
XXXXXXX017  2017-08-31  96678 </t>
  </si>
  <si>
    <t xml:space="preserve">AWB No. Gateway Port Gateway EGM No. Gateway EGM Date Gateway Site ID Error Code
N.A.  INNSA1  134260  2017-08-31 00:00:00.0  INNSA1  S </t>
  </si>
  <si>
    <t xml:space="preserve">IEC CHA No. Job No. Job Date Port of Discharge Total Package Gross Weight (Kg) FOB(INR) Total Cess (INR) Drawback STR Total (DBK+STR) CIN NO. CIN DT. Reward Flag
0516900692  AATPS3087NCH001  5810930  04 SEP 2017 12:09  VNSGN  29  300.7  617495.4  0  9262  0  9262  N.A.  N.A.  Click here to view item wise reward details </t>
  </si>
  <si>
    <t xml:space="preserve">Current Que LEO Date EP Copy Print Status DBK Scroll No Scroll Date EGM Integration Status
HIST  14 SEP 2017 00:09  Y  21907/2017  26 SEP 2017 00:09  Y </t>
  </si>
  <si>
    <t xml:space="preserve">EGM No. EGM Date Container No. Seal No. Error Message
R577102009  2017-9-20 0.0.0.0  FCIU8912801  403359  N.A. </t>
  </si>
  <si>
    <t xml:space="preserve">GSTIN    -    08AXXXXXXXXF1ZL
Invoice Number Invoice Date IGST Paid(INR)
XXXXXXX-18  2017-08-29  72207 </t>
  </si>
  <si>
    <t xml:space="preserve">AWB No. Gateway Port Gateway EGM No. Gateway EGM Date Gateway Site ID Error Code
N.A.  INMUN1  135448  2017-09-20 00:00:00.0  INMUN1  S </t>
  </si>
  <si>
    <t xml:space="preserve">IEC CHA No. Job No. Job Date Port of Discharge Total Package Gross Weight (Kg) FOB(INR) Total Cess (INR) Drawback STR Total (DBK+STR) CIN NO. CIN DT. Reward Flag
AAHCC0755A  BTLPP6279BCH001  5826161  04 SEP 2017 12:09  AEJEA  90  1890  6907420.8  0  676928  0  676928  N.A.  N.A.  Click here to view item wise reward details </t>
  </si>
  <si>
    <t xml:space="preserve">EGM No. EGM Date Container No. Seal No. Error Message
R887140709  2017-9-7 0.0.0.0  MRKU4572116  401877  N.A. </t>
  </si>
  <si>
    <t xml:space="preserve">ROSL Availed Amount(INR) Scroll Number Scroll Date
Y  207223  25637/2017  2017-9-20 0.0.0.0 </t>
  </si>
  <si>
    <t xml:space="preserve">GSTIN    -    07AXXXXXXXXA1Z5
Invoice Number Invoice Date IGST Paid(INR)
XXXXXXXXXXXXX018  2017-09-04  345370 </t>
  </si>
  <si>
    <t xml:space="preserve">AWB No. Gateway Port Gateway EGM No. Gateway EGM Date Gateway Site ID Error Code
N.A.  INPAV1  134057  2017-08-28 00:00:00.0  INPAV1  S </t>
  </si>
  <si>
    <t xml:space="preserve">IEC CHA No. Job No. Job Date Port of Discharge Total Package Gross Weight (Kg) FOB(INR) Total Cess (INR) Drawback STR Total (DBK+STR) CIN NO. CIN DT. Reward Flag
AAHCC0755A  BTLPP6279BCH001  5826172  04 SEP 2017 12:09  AEJEA  90  1890  6907420.8  0  676928  0  676928  N.A.  N.A.  Click here to view item wise reward details </t>
  </si>
  <si>
    <t xml:space="preserve">EGM No. EGM Date Container No. Seal No. Error Message
R887140709  2017-9-7 0.0.0.0  MRKU4572116  401879  N.A. </t>
  </si>
  <si>
    <t xml:space="preserve">IEC CHA No. Job No. Job Date Port of Discharge Total Package Gross Weight (Kg) FOB(INR) Total Cess (INR) Drawback STR Total (DBK+STR) CIN NO. CIN DT. Reward Flag
AABCZ1026D  BTLPP6279BCH001  5826209  04 SEP 2017 12:09  AEJEA  84  1764  6849858.96  0  671286  0  671286  N.A.  N.A.  Click here to view item wise reward details </t>
  </si>
  <si>
    <t xml:space="preserve">EGM No. EGM Date Container No. Seal No. Error Message
R887140709  2017-9-7 0.0.0.0  MSKU1820720  401844  N.A. </t>
  </si>
  <si>
    <t xml:space="preserve">ROSL Availed Amount(INR) Scroll Number Scroll Date
Y  205496  25637/2017  2017-9-20 0.0.0.0 </t>
  </si>
  <si>
    <t xml:space="preserve">GSTIN    -    07AXXXXXXXXD1ZS
Invoice Number Invoice Date IGST Paid(INR)
XXXXXXXXXXXXX018  2017-09-04  342492 </t>
  </si>
  <si>
    <t>2017/09/05</t>
  </si>
  <si>
    <t xml:space="preserve">IEC CHA No. Job No. Job Date Port of Discharge Total Package Gross Weight (Kg) FOB(INR) Total Cess (INR) Drawback STR Total (DBK+STR) CIN NO. CIN DT. Reward Flag
0616907401  AACCP0287DCH001  5840247  05 SEP 2017 12:09  CAVAN  11  231.71  54380  0  816  0  816  N.A.  N.A.  Click here to view item wise reward details </t>
  </si>
  <si>
    <t xml:space="preserve">Current Que LEO Date EP Copy Print Status DBK Scroll No Scroll Date EGM Integration Status
HIST  12 SEP 2017 00:09  Y  22032/2017  06 OCT 2017 00:10  Y </t>
  </si>
  <si>
    <t xml:space="preserve">EGM No. EGM Date Container No. Seal No. Error Message
R137262109  2017-9-21 0.0.0.0  DFSU2836647  403366  N.A. </t>
  </si>
  <si>
    <t xml:space="preserve">GSTIN    -    09BXXXXXXXXJ1ZL
Invoice Number Invoice Date IGST Paid(INR)
XXXXXXXXX018  2017-08-28  15226 </t>
  </si>
  <si>
    <t xml:space="preserve">AWB No. Gateway Port Gateway EGM No. Gateway EGM Date Gateway Site ID Error Code
N.A.  INNSA1  135068  2017-09-14 00:00:00.0  INNSA1  S </t>
  </si>
  <si>
    <t xml:space="preserve">IEC CHA No. Job No. Job Date Port of Discharge Total Package Gross Weight (Kg) FOB(INR) Total Cess (INR) Drawback STR Total (DBK+STR) CIN NO. CIN DT. Reward Flag
0516517431  AAEFH1939HCH001  5846093  05 SEP 2017 12:09  ILHFA  4  3346  308969.78  0  6179  0  6179  N.A.  N.A.  Click here to view item wise reward details </t>
  </si>
  <si>
    <t xml:space="preserve">EGM No. EGM Date Container No. Seal No. Error Message
R827781109  2017-9-11 0.0.0.0  IRNU4551480  402099  N.A. </t>
  </si>
  <si>
    <t xml:space="preserve">GSTIN    -    07BXXXXXXXXB1Z1
Invoice Number Invoice Date IGST Paid(INR)
XXXXXXXXXXXXXX-18  2017-09-01  55614 </t>
  </si>
  <si>
    <t xml:space="preserve">IEC CHA No. Job No. Job Date Port of Discharge Total Package Gross Weight (Kg) FOB(INR) Total Cess (INR) Drawback STR Total (DBK+STR) CIN NO. CIN DT. Reward Flag
0507023722  AANPA2304GCH001  5851341  05 SEP 2017 12:09  LKCMB  42  1060  277911  0  0  0  0  N.A.  N.A.  Click here to view item wise reward details </t>
  </si>
  <si>
    <t xml:space="preserve">Current Que LEO Date EP Copy Print Status DBK Scroll No Scroll Date EGM Integration Status
HIST  06 SEP 2017 00:09  Y  N.A.  N.A.  Y </t>
  </si>
  <si>
    <t xml:space="preserve">EGM No. EGM Date Container No. Seal No. Error Message
T707360909  2017-9-9 0.0.0.0  BEAU4624635  402036  N.A. </t>
  </si>
  <si>
    <t xml:space="preserve">GSTIN    -    07AXXXXXXXXB1ZM
Invoice Number Invoice Date IGST Paid(INR)
XXXXXXXXXX/05  2017-09-05  50021 </t>
  </si>
  <si>
    <t xml:space="preserve">IEC CHA No. Job No. Job Date Port of Discharge Total Package Gross Weight (Kg) FOB(INR) Total Cess (INR) Drawback STR Total (DBK+STR) CIN NO. CIN DT. Reward Flag
0592023052  AMJPS3049QCH001  5855797  05 SEP 2017 12:09  CNSHA  17  7530  2354180.27  0  47084  0  47084  N.A.  N.A.  Click here to view item wise reward details </t>
  </si>
  <si>
    <t xml:space="preserve">EGM No. EGM Date Container No. Seal No. Error Message
J207160709  2017-9-7 0.0.0.0  HLBU1502918  000515  N.A. </t>
  </si>
  <si>
    <t xml:space="preserve">GSTIN    -    06AXXXXXXXXE4ZU
Invoice Number Invoice Date IGST Paid(INR)
XXXXXXXXXXXXXX017  2017-08-29  659169 </t>
  </si>
  <si>
    <t xml:space="preserve">AWB No. Gateway Port Gateway EGM No. Gateway EGM Date Gateway Site ID Error Code
N.A.  INNSA1  134474  2017-09-04 00:00:00.0  INNSA1  S </t>
  </si>
  <si>
    <t xml:space="preserve">IEC CHA No. Job No. Job Date Port of Discharge Total Package Gross Weight (Kg) FOB(INR) Total Cess (INR) Drawback STR Total (DBK+STR) CIN NO. CIN DT. Reward Flag
0594004373  AAHCR2213ACH001  5858203  05 SEP 2017 12:09  AEJEA  228  5415.465  840043.1  0  12781  0  12781  N.A.  N.A.  Click here to view item wise reward details </t>
  </si>
  <si>
    <t xml:space="preserve">EGM No. EGM Date Container No. Seal No. Error Message
T417981309  2017-9-13 0.0.0.0  BAXU5064802  402212  N.A. </t>
  </si>
  <si>
    <t xml:space="preserve">GSTIN    -    07AXXXXXXXXN1ZK
Invoice Number Invoice Date IGST Paid(INR)
XXXXXXXXXXXXXX-18  2017-09-04  145607 </t>
  </si>
  <si>
    <t xml:space="preserve">AWB No. Gateway Port Gateway EGM No. Gateway EGM Date Gateway Site ID Error Code
N.A.  INMUN1  135390  2017-09-19 00:00:00.0  INMUN1  S </t>
  </si>
  <si>
    <t xml:space="preserve">IEC CHA No. Job No. Job Date Port of Discharge Total Package Gross Weight (Kg) FOB(INR) Total Cess (INR) Drawback STR Total (DBK+STR) CIN NO. CIN DT. Reward Flag
0504016865  AADCA0273BCH001  5860740  05 SEP 2017 12:09  SEHEL  784  3292.8  964054.86  0  0  0  0  N.A.  N.A.  Click here to view item wise reward details </t>
  </si>
  <si>
    <t xml:space="preserve">Current Que LEO Date EP Copy Print Status DBK Scroll No Scroll Date EGM Integration Status
HIST  11 SEP 2017 00:09  Y  N.A.  N.A.  Y </t>
  </si>
  <si>
    <t xml:space="preserve">EGM No. EGM Date Container No. Seal No. Error Message
R517202109  2017-9-21 0.0.0.0  APZU3002351  402539  N.A. </t>
  </si>
  <si>
    <t xml:space="preserve">GSTIN    -    06AXXXXXXXXJ1ZG
Invoice Number Invoice Date IGST Paid(INR)
XXXX009  2017-08-28  115686 </t>
  </si>
  <si>
    <t>2017/09/06</t>
  </si>
  <si>
    <t xml:space="preserve">IEC CHA No. Job No. Job Date Port of Discharge Total Package Gross Weight (Kg) FOB(INR) Total Cess (INR) Drawback STR Total (DBK+STR) CIN NO. CIN DT. Reward Flag
0504064754  FHMPS1058ECH001  5873427  06 SEP 2017 12:09  LKCMB  8  485  724814.73  0  14351  0  14351  N.A.  N.A.  Click here to view item wise reward details </t>
  </si>
  <si>
    <t xml:space="preserve">EGM No. EGM Date Container No. Seal No. Error Message
T707121409  2017-9-14 0.0.0.0  BEAU4623808  402610  N.A. </t>
  </si>
  <si>
    <t xml:space="preserve">GSTIN    -    09AXXXXXXXXP2ZF
Invoice Number Invoice Date IGST Paid(INR)
XXXXXXXXX/17  2017-08-26  36232 </t>
  </si>
  <si>
    <t xml:space="preserve">AWB No. Gateway Port Gateway EGM No. Gateway EGM Date Gateway Site ID Error Code
N.A.  INNSA1  134875  2017-09-11 00:00:00.0  INNSA1  S </t>
  </si>
  <si>
    <t xml:space="preserve">IEC CHA No. Job No. Job Date Port of Discharge Total Package Gross Weight (Kg) FOB(INR) Total Cess (INR) Drawback STR Total (DBK+STR) CIN NO. CIN DT. Reward Flag
0507062884  AYZPP5973GCH001  5876744  06 SEP 2017 12:09  BRSSZ  50  2011  814769.5  0  16295  0  16295  N.A.  N.A.  Click here to view item wise reward details </t>
  </si>
  <si>
    <t xml:space="preserve">EGM No. EGM Date Container No. Seal No. Error Message
R667380909  2017-9-9 0.0.0.0  INKU6640898  003234  N.A. </t>
  </si>
  <si>
    <t xml:space="preserve">GSTIN    -    09AXXXXXXXXJ1Z6
Invoice Number Invoice Date IGST Paid(INR)
XXXXXXXXXXX018  2017-09-04  146655 </t>
  </si>
  <si>
    <t xml:space="preserve">IEC CHA No. Job No. Job Date Port of Discharge Total Package Gross Weight (Kg) FOB(INR) Total Cess (INR) Drawback STR Total (DBK+STR) CIN NO. CIN DT. Reward Flag
0516502832  AHDPK8975CCH001  5879330  06 SEP 2017 12:09  USOLI  316  2642.9  1929772.11  0  17921  0  17921  N.A.  N.A.  Click here to view item wise reward details </t>
  </si>
  <si>
    <t xml:space="preserve">Current Que LEO Date EP Copy Print Status DBK Scroll No Scroll Date EGM Integration Status
HIST  08 SEP 2017 00:09  Y  24432/2018  25 MAR 2018 00:03  Y </t>
  </si>
  <si>
    <t xml:space="preserve">EGM No. EGM Date Container No. Seal No. Error Message
R917401509  2017-9-15 0.0.0.0  TCNU4310695  402647  N.A. </t>
  </si>
  <si>
    <t xml:space="preserve">ROSL Availed Amount(INR) Scroll Number Scroll Date
Y  7168  32661/2019  2019-2-8 0.0.0.0 </t>
  </si>
  <si>
    <t xml:space="preserve">GSTIN    -    09AXXXXXXXXA1ZJ
Invoice Number Invoice Date IGST Paid(INR)
XXXXXXXXXXXXXX8/2  2017-08-10  96485 </t>
  </si>
  <si>
    <t xml:space="preserve">AWB No. Gateway Port Gateway EGM No. Gateway EGM Date Gateway Site ID Error Code
N.A.  INNSA1  134549  2017-09-05 00:00:00.0  INNSA1  S </t>
  </si>
  <si>
    <t xml:space="preserve">IEC CHA No. Job No. Job Date Port of Discharge Total Package Gross Weight (Kg) FOB(INR) Total Cess (INR) Drawback STR Total (DBK+STR) CIN NO. CIN DT. Reward Flag
3311006062  AHDPK8975CCH001  5884732  06 SEP 2017 12:09  CLSCL  40  249.02  465723  0  0  0  0  N.A.  N.A.  Click here to view item wise reward details </t>
  </si>
  <si>
    <t xml:space="preserve">EGM No. EGM Date Container No. Seal No. Error Message
R1107481609  2017-9-16 0.0.0.0  KMTU7228639  402645  N.A. </t>
  </si>
  <si>
    <t xml:space="preserve">GSTIN    -    09AXXXXXXXXB1ZS
Invoice Number Invoice Date IGST Paid(INR)
XXXXXXXXXXX-18  2017-08-28  13952 </t>
  </si>
  <si>
    <t xml:space="preserve">AWB No. Gateway Port Gateway EGM No. Gateway EGM Date Gateway Site ID Error Code
N.A.  INNSA1  135239  2017-09-18 00:00:00.0  INNSA1  S </t>
  </si>
  <si>
    <t>2017/09/07</t>
  </si>
  <si>
    <t xml:space="preserve">IEC CHA No. Job No. Job Date Port of Discharge Total Package Gross Weight (Kg) FOB(INR) Total Cess (INR) Drawback STR Total (DBK+STR) CIN NO. CIN DT. Reward Flag
0512059152  AASPK9028QCH001  5893896  07 SEP 2017 12:09  AEDXB  43  1335  314838.9  0  22790  0  22790  N.A.  N.A.  Click here to view item wise reward details </t>
  </si>
  <si>
    <t xml:space="preserve">Current Que LEO Date EP Copy Print Status DBK Scroll No Scroll Date EGM Integration Status
HIST  12 SEP 2017 00:09  Y  21843/2017  21 SEP 2017 00:09  Y </t>
  </si>
  <si>
    <t xml:space="preserve">EGM No. EGM Date Container No. Seal No. Error Message
R667781809  2017-9-18 0.0.0.0  CRXU3033449  403319  N.A. </t>
  </si>
  <si>
    <t xml:space="preserve">GSTIN    -    07AXXXXXXXXP1ZN
Invoice Number Invoice Date IGST Paid(INR)
XXXXXXXXXXX-18  2017-09-06  196598 </t>
  </si>
  <si>
    <t xml:space="preserve">IEC CHA No. Job No. Job Date Port of Discharge Total Package Gross Weight (Kg) FOB(INR) Total Cess (INR) Drawback STR Total (DBK+STR) CIN NO. CIN DT. Reward Flag
0505032473  BEEPS0785MCH001  5905863  07 SEP 2017 12:09  DEHAM  40  1150  411255  0  4113  0  4113  N.A.  N.A.  Click here to view item wise reward details </t>
  </si>
  <si>
    <t xml:space="preserve">Current Que LEO Date EP Copy Print Status DBK Scroll No Scroll Date EGM Integration Status
HIST  13 SEP 2017 00:09  Y  22032/2017  06 OCT 2017 00:10  Y </t>
  </si>
  <si>
    <t xml:space="preserve">EGM No. EGM Date Container No. Seal No. Error Message
R777282109  2017-9-21 0.0.0.0  TGHU9884825  403376  N.A. </t>
  </si>
  <si>
    <t xml:space="preserve">GSTIN    -    06AXXXXXXXXN1ZC
Invoice Number Invoice Date IGST Paid(INR)
XXXXXXXX005  2017-09-06  20576 </t>
  </si>
  <si>
    <t xml:space="preserve">AWB No. Gateway Port Gateway EGM No. Gateway EGM Date Gateway Site ID Error Code
N.A.  INMUN1  135462  2017-09-20 00:00:00.0  INMUN1  S </t>
  </si>
  <si>
    <t>2017/09/08</t>
  </si>
  <si>
    <t xml:space="preserve">IEC CHA No. Job No. Job Date Port of Discharge Total Package Gross Weight (Kg) FOB(INR) Total Cess (INR) Drawback STR Total (DBK+STR) CIN NO. CIN DT. Reward Flag
AAKFD0331P  AMAPS8772KCH001  5922687  08 SEP 2017 12:09  DEHAM  1  275  234025  0  0  0  0  N.A.  N.A.  Click here to view item wise reward details </t>
  </si>
  <si>
    <t xml:space="preserve">Current Que LEO Date EP Copy Print Status DBK Scroll No Scroll Date EGM Integration Status
HIST  14 SEP 2017 00:09  Y  N.A.  N.A.  Y </t>
  </si>
  <si>
    <t xml:space="preserve">EGM No. EGM Date Container No. Seal No. Error Message
R367602309  2017-9-23 0.0.0.0  CAIU7114563  403933  N.A. </t>
  </si>
  <si>
    <t xml:space="preserve">GSTIN    -    03AXXXXXXXXP1ZK
Invoice Number Invoice Date IGST Paid(INR)
XE/2  2017-09-06  42767 </t>
  </si>
  <si>
    <t xml:space="preserve">IEC CHA No. Job No. Job Date Port of Discharge Total Package Gross Weight (Kg) FOB(INR) Total Cess (INR) Drawback STR Total (DBK+STR) CIN NO. CIN DT. Reward Flag
0512067872  AAJCA1821BCH001  5928204  08 SEP 2017 12:09  GBSOU  3  526.52  564076.95  0  7166  0  7166  N.A.  N.A.  Click here to view item wise reward details </t>
  </si>
  <si>
    <t xml:space="preserve">EGM No. EGM Date Container No. Seal No. Error Message
R157821809  2017-9-18 0.0.0.0  INKU6262099  403336  N.A. </t>
  </si>
  <si>
    <t xml:space="preserve">GSTIN    -    06AXXXXXXXXR1ZU
Invoice Number Invoice Date IGST Paid(INR)
XXXXXXXXXXXXXX-18  2017-09-06  126045 </t>
  </si>
  <si>
    <t xml:space="preserve">AWB No. Gateway Port Gateway EGM No. Gateway EGM Date Gateway Site ID Error Code
N.A.  INNSA1  134930  2017-09-12 00:00:00.0  INNSA1  C </t>
  </si>
  <si>
    <t>2017/09/09</t>
  </si>
  <si>
    <t xml:space="preserve">IEC CHA No. Job No. Job Date Port of Discharge Total Package Gross Weight (Kg) FOB(INR) Total Cess (INR) Drawback STR Total (DBK+STR) CIN NO. CIN DT. Reward Flag
0511087098  AAACE2126JCH014  5947300  09 SEP 2017 12:09  LKCMB  38  596  144590.77  0  0  0  0  N.A.  N.A.  Click here to view item wise reward details </t>
  </si>
  <si>
    <t xml:space="preserve">Current Que LEO Date EP Copy Print Status DBK Scroll No Scroll Date EGM Integration Status
HIST  13 SEP 2017 00:09  Y  N.A.  N.A.  Y </t>
  </si>
  <si>
    <t xml:space="preserve">EGM No. EGM Date Container No. Seal No. Error Message
R157821809  2017-9-18 0.0.0.0  CCLU6335831  403325  N.A. </t>
  </si>
  <si>
    <t xml:space="preserve">GSTIN    -    09AXXXXXXXXP1ZN
Invoice Number Invoice Date IGST Paid(INR)
XX/04  2017-09-08  41022 </t>
  </si>
  <si>
    <t>2017/09/11</t>
  </si>
  <si>
    <t xml:space="preserve">IEC CHA No. Job No. Job Date Port of Discharge Total Package Gross Weight (Kg) FOB(INR) Total Cess (INR) Drawback STR Total (DBK+STR) CIN NO. CIN DT. Reward Flag
3104003254  AAACA3307KCH003  5973357  11 SEP 2017 12:09  USSTL  1  190  194114.25  0  3882  0  3882  N.A.  N.A.  Click here to view item wise reward details </t>
  </si>
  <si>
    <t xml:space="preserve">Current Que LEO Date EP Copy Print Status DBK Scroll No Scroll Date EGM Integration Status
HIST  13 SEP 2017 00:09  Y  21843/2017  21 SEP 2017 00:09  Y </t>
  </si>
  <si>
    <t xml:space="preserve">EGM No. EGM Date Container No. Seal No. Error Message
R1117461609  2017-9-16 0.0.0.0  NYKU4408134  402667  N.A. </t>
  </si>
  <si>
    <t xml:space="preserve">GSTIN    -    27AXXXXXXXXR1ZF
Invoice Number Invoice Date IGST Paid(INR)
XXXXXXXXXXXX-18  2017-09-04  8950 </t>
  </si>
  <si>
    <t xml:space="preserve">AWB No. Gateway Port Gateway EGM No. Gateway EGM Date Gateway Site ID Error Code
N.A.  INMUN1  135461  2017-09-20 00:00:00.0  INMUN1  S </t>
  </si>
  <si>
    <t xml:space="preserve">IEC CHA No. Job No. Job Date Port of Discharge Total Package Gross Weight (Kg) FOB(INR) Total Cess (INR) Drawback STR Total (DBK+STR) CIN NO. CIN DT. Reward Flag
0589053850  AMJPS3049QCH001  5977016  11 SEP 2017 12:09  EGSOK  15  6472  938063.28  0  18761  0  18761  N.A.  N.A.  Click here to view item wise reward details </t>
  </si>
  <si>
    <t xml:space="preserve">Current Que LEO Date EP Copy Print Status DBK Scroll No Scroll Date EGM Integration Status
HIST  14 SEP 2017 00:09  Y  21843/2017  21 SEP 2017 00:09  Y </t>
  </si>
  <si>
    <t xml:space="preserve">EGM No. EGM Date Container No. Seal No. Error Message
R917401509  2017-9-15 0.0.0.0  TCNU3705026  000111  N.A. </t>
  </si>
  <si>
    <t xml:space="preserve">GSTIN    -    06AXXXXXXXXM1ZZ
Invoice Number Invoice Date IGST Paid(INR)
045  2017-08-17  168843 </t>
  </si>
  <si>
    <t xml:space="preserve">AWB No. Gateway Port Gateway EGM No. Gateway EGM Date Gateway Site ID Error Code
N.A.  INNSA1  134711  2017-09-07 00:00:00.0  INNSA1  ST </t>
  </si>
  <si>
    <t xml:space="preserve">IEC CHA No. Job No. Job Date Port of Discharge Total Package Gross Weight (Kg) FOB(INR) Total Cess (INR) Drawback STR Total (DBK+STR) CIN NO. CIN DT. Reward Flag
0515060291  AABCS2867DCH001  5979721  11 SEP 2017 12:09  PLGDY  25  295  189750  0  6732  0  6732  N.A.  N.A.  Click here to view item wise reward details </t>
  </si>
  <si>
    <t xml:space="preserve">Current Que LEO Date EP Copy Print Status DBK Scroll No Scroll Date EGM Integration Status
HIST  15 SEP 2017 00:09  Y  22032/2017  06 OCT 2017 00:10  Y </t>
  </si>
  <si>
    <t xml:space="preserve">EGM No. EGM Date Container No. Seal No. Error Message
R137262109  2017-9-21 0.0.0.0  VSTU9000234  403375  N.A. </t>
  </si>
  <si>
    <t xml:space="preserve">GSTIN    -    07AXXXXXXXXM1ZZ
Invoice Number Invoice Date IGST Paid(INR)
XXXXXXXXXXXXXX-18  2017-09-04  53296 </t>
  </si>
  <si>
    <t xml:space="preserve">AWB No. Gateway Port Gateway EGM No. Gateway EGM Date Gateway Site ID Error Code
N.A.  INNSA1  135192  2017-09-15 00:00:00.0  INNSA1  S </t>
  </si>
  <si>
    <t xml:space="preserve">IEC CHA No. Job No. Job Date Port of Discharge Total Package Gross Weight (Kg) FOB(INR) Total Cess (INR) Drawback STR Total (DBK+STR) CIN NO. CIN DT. Reward Flag
0507051360  AAAFJ1721HCH058  5981869  11 SEP 2017 12:09  THBKK  2  300  378785.28  0  7576  0  7576  N.A.  N.A.  Click here to view item wise reward details </t>
  </si>
  <si>
    <t xml:space="preserve">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 </t>
  </si>
  <si>
    <t xml:space="preserve">GSTIN    -    06AXXXXXXXXR2ZO
Invoice Number Invoice Date IGST Paid(INR)
XXXXXXXXXXXXXXP80  2017-09-11  106770 </t>
  </si>
  <si>
    <t xml:space="preserve">AWB No. Gateway Port Gateway EGM No. Gateway EGM Date Gateway Site ID Error Code
N.A.  INNSA1  135086  2017-09-14 00:00:00.0  INNSA1  S </t>
  </si>
  <si>
    <t xml:space="preserve">IEC CHA No. Job No. Job Date Port of Discharge Total Package Gross Weight (Kg) FOB(INR) Total Cess (INR) Drawback STR Total (DBK+STR) CIN NO. CIN DT. Reward Flag
0507023722  AANPA2304GCH001  5982604  11 SEP 2017 12:09  LKCMB  20  505  136145.63  0  0  0  0  N.A.  N.A.  Click here to view item wise reward details </t>
  </si>
  <si>
    <t xml:space="preserve">EGM No. EGM Date Container No. Seal No. Error Message
T257542209  2017-9-22 0.0.0.0  ZCSU8532458  403390  N.A. </t>
  </si>
  <si>
    <t xml:space="preserve">GSTIN    -    07AXXXXXXXXB1ZM
Invoice Number Invoice Date IGST Paid(INR)
XXXXXXXXXX/06  2017-09-11  24505 </t>
  </si>
  <si>
    <t xml:space="preserve">AWB No. Gateway Port Gateway EGM No. Gateway EGM Date Gateway Site ID Error Code
N.A.  INNSA1  134938  2017-09-12 00:00:00.0  INNSA1  S </t>
  </si>
  <si>
    <t>2017/09/12</t>
  </si>
  <si>
    <t xml:space="preserve">IEC CHA No. Job No. Job Date Port of Discharge Total Package Gross Weight (Kg) FOB(INR) Total Cess (INR) Drawback STR Total (DBK+STR) CIN NO. CIN DT. Reward Flag
0506004830  AAJCA1821BCH001  5999477  12 SEP 2017 12:09  LKCMB  10  246  426937.5  0  6053  0  6053  N.A.  N.A.  Click here to view item wise reward details </t>
  </si>
  <si>
    <t xml:space="preserve">GSTIN    -    07AXXXXXXXXK1ZF
Invoice Number Invoice Date IGST Paid(INR)
10  2017-09-11  120960 </t>
  </si>
  <si>
    <t xml:space="preserve">IEC CHA No. Job No. Job Date Port of Discharge Total Package Gross Weight (Kg) FOB(INR) Total Cess (INR) Drawback STR Total (DBK+STR) CIN NO. CIN DT. Reward Flag
1314000233  AAFCK0712RCH001  6001781  12 SEP 2017 12:09  ZADUR  12  5468  1151276.76  0  14152  0  14152  N.A.  N.A.  Click here to view item wise reward details </t>
  </si>
  <si>
    <t xml:space="preserve">Current Que LEO Date EP Copy Print Status DBK Scroll No Scroll Date EGM Integration Status
HIST  14 SEP 2017 00:09  Y  22032/2017  06 OCT 2017 00:10  Y </t>
  </si>
  <si>
    <t xml:space="preserve">EGM No. EGM Date Container No. Seal No. Error Message
R137262109  2017-9-21 0.0.0.0  PONU2056658  403381  N.A. </t>
  </si>
  <si>
    <t xml:space="preserve">GSTIN    -    08AXXXXXXXXR1ZP
Invoice Number Invoice Date IGST Paid(INR)
XXXXXX-24  2017-09-05  322355 </t>
  </si>
  <si>
    <t xml:space="preserve">AWB No. Gateway Port Gateway EGM No. Gateway EGM Date Gateway Site ID Error Code
N.A.  INNSA1  134766  2017-09-08 00:00:00.0  INNSA1  S </t>
  </si>
  <si>
    <t xml:space="preserve">IEC CHA No. Job No. Job Date Port of Discharge Total Package Gross Weight (Kg) FOB(INR) Total Cess (INR) Drawback STR Total (DBK+STR) CIN NO. CIN DT. Reward Flag
0515920274  AAAFO0713CCH001  6004661  12 SEP 2017 12:09  ESBCN  3  199  209411.84  0  0  0  0  N.A.  N.A.  Click here to view item wise reward details </t>
  </si>
  <si>
    <t xml:space="preserve">EGM No. EGM Date Container No. Seal No. Error Message
J277642309  2017-9-23 0.0.0.0  DFSU2494143  403925  N.A. </t>
  </si>
  <si>
    <t xml:space="preserve">GSTIN    -    07AXXXXXXXXC1ZB
Invoice Number Invoice Date IGST Paid(INR)
XXXXXXXXXXXRTS  2017-09-06  28364 </t>
  </si>
  <si>
    <t xml:space="preserve">AWB No. Gateway Port Gateway EGM No. Gateway EGM Date Gateway Site ID Error Code
N.A.  INNSA1  135065  2017-09-14 00:00:00.0  INNSA1  S </t>
  </si>
  <si>
    <t xml:space="preserve">IEC CHA No. Job No. Job Date Port of Discharge Total Package Gross Weight (Kg) FOB(INR) Total Cess (INR) Drawback STR Total (DBK+STR) CIN NO. CIN DT. Reward Flag
0513013261  AABCS7195NCH001  6006790  12 SEP 2017 12:09  AEJEA  10  307.8  111952.5  0  1679  0  1679  N.A.  N.A.  Click here to view item wise reward details </t>
  </si>
  <si>
    <t xml:space="preserve">Current Que LEO Date EP Copy Print Status DBK Scroll No Scroll Date EGM Integration Status
HIST  21 SEP 2017 00:09  Y  22374/2017  31 OCT 2017 00:10  Y </t>
  </si>
  <si>
    <t xml:space="preserve">EGM No. EGM Date Container No. Seal No. Error Message
T437022609  2017-9-26 0.0.0.0  BLJU4450787  403977  N.A. </t>
  </si>
  <si>
    <t xml:space="preserve">GSTIN    -    09AXXXXXXXXA1Z8
Invoice Number Invoice Date IGST Paid(INR)
02  2017-09-11  20794 </t>
  </si>
  <si>
    <t xml:space="preserve">AWB No. Gateway Port Gateway EGM No. Gateway EGM Date Gateway Site ID Error Code
N.A.  INMUN1  135995  2017-09-28 00:00:00.0  INMUN1  S </t>
  </si>
  <si>
    <t xml:space="preserve">IEC CHA No. Job No. Job Date Port of Discharge Total Package Gross Weight (Kg) FOB(INR) Total Cess (INR) Drawback STR Total (DBK+STR) CIN NO. CIN DT. Reward Flag
0709012331  AACCN5026ECH007  6007285  12 SEP 2017 12:09  PACFZ  7  4045  1844633.12  0  36893  0  36893  N.A.  N.A.  Click here to view item wise reward details </t>
  </si>
  <si>
    <t xml:space="preserve">Current Que LEO Date EP Copy Print Status DBK Scroll No Scroll Date EGM Integration Status
HIST  14 SEP 2017 00:09  Y  24432/2018  25 MAR 2018 00:03  Y </t>
  </si>
  <si>
    <t xml:space="preserve">EGM No. EGM Date Container No. Seal No. Error Message
R157821809  2017-9-18 0.0.0.0  TRLU6853517  403326  N.A. </t>
  </si>
  <si>
    <t xml:space="preserve">GSTIN    -    06AXXXXXXXXD1Z8
Invoice Number Invoice Date IGST Paid(INR)
XXXXXXXXXXXXXX030  2017-09-11  341891 </t>
  </si>
  <si>
    <t xml:space="preserve">IEC CHA No. Job No. Job Date Port of Discharge Total Package Gross Weight (Kg) FOB(INR) Total Cess (INR) Drawback STR Total (DBK+STR) CIN NO. CIN DT. Reward Flag
AAECE6932C  BTLPP6279BCH001  6008035  12 SEP 2017 12:09  AEJEA  60  1050  6311844  0  618561  0  618561  N.A.  N.A.  Click here to view item wise reward details </t>
  </si>
  <si>
    <t xml:space="preserve">EGM No. EGM Date Container No. Seal No. Error Message
R367681709  2017-9-17 0.0.0.0  MRKU3498204  403242  N.A. </t>
  </si>
  <si>
    <t xml:space="preserve">ROSL Availed Amount(INR) Scroll Number Scroll Date
Y  189355  25637/2017  2017-9-20 0.0.0.0 </t>
  </si>
  <si>
    <t xml:space="preserve">GSTIN    -    07AXXXXXXXXC1ZV
Invoice Number Invoice Date IGST Paid(INR)
XXXXXXXXXXXXX018  2017-09-11  315592 </t>
  </si>
  <si>
    <t xml:space="preserve">AWB No. Gateway Port Gateway EGM No. Gateway EGM Date Gateway Site ID Error Code
N.A.  INPAV1  134063  2017-08-28 00:00:00.0  INPAV1  S </t>
  </si>
  <si>
    <t xml:space="preserve">IEC CHA No. Job No. Job Date Port of Discharge Total Package Gross Weight (Kg) FOB(INR) Total Cess (INR) Drawback STR Total (DBK+STR) CIN NO. CIN DT. Reward Flag
AAECE6932C  BTLPP6279BCH001  6008096  12 SEP 2017 12:09  AEJEA  58  1015  6101449.2  0  597942  0  597942  N.A.  N.A.  Click here to view item wise reward details </t>
  </si>
  <si>
    <t xml:space="preserve">EGM No. EGM Date Container No. Seal No. Error Message
R367681709  2017-9-17 0.0.0.0  MRKU3066936  403208  N.A. </t>
  </si>
  <si>
    <t xml:space="preserve">ROSL Availed Amount(INR) Scroll Number Scroll Date
Y  183043  25637/2017  2017-9-20 0.0.0.0 </t>
  </si>
  <si>
    <t xml:space="preserve">GSTIN    -    07AXXXXXXXXC1ZV
Invoice Number Invoice Date IGST Paid(INR)
XXXXXXXXXXXXX018  2017-09-11  305072 </t>
  </si>
  <si>
    <t xml:space="preserve">IEC CHA No. Job No. Job Date Port of Discharge Total Package Gross Weight (Kg) FOB(INR) Total Cess (INR) Drawback STR Total (DBK+STR) CIN NO. CIN DT. Reward Flag
AAECE6932C  BTLPP6279BCH001  6008090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</si>
  <si>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AAECE6932C  BTLPP6279BCH001  6008120  12 SEP 2017 12:09  AEJEA  58  1015  6101449.2  0  597942  0  597942  N.A.  N.A.  Click here to view item wise reward details </t>
  </si>
  <si>
    <t xml:space="preserve">IEC CHA No. Job No. Job Date Port of Discharge Total Package Gross Weight (Kg) FOB(INR) Total Cess (INR) Drawback STR Total (DBK+STR) CIN NO. CIN DT. Reward Flag
AAECE6932C  BTLPP6279BCH001  6008163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</si>
  <si>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0595012647  AAACC6689ECH001  6010406  12 SEP 2017 12:09  PKKHI  3138  47059  7890078.87  0  118351  0  118351  N.A.  N.A.  Click here to view item wise reward details </t>
  </si>
  <si>
    <t xml:space="preserve">Current Que LEO Date EP Copy Print Status DBK Scroll No Scroll Date EGM Integration Status
HIST  18 SEP 2017 00:09  Y  22032/2017  06 OCT 2017 00:10  Y </t>
  </si>
  <si>
    <t xml:space="preserve">EGM No. EGM Date Container No. Seal No. Error Message
TX227302109  2017-9-21 0.0.0.0  SEGU5562627  001866  N.A. </t>
  </si>
  <si>
    <t xml:space="preserve">GSTIN    -    07AXXXXXXXXB1ZR
Invoice Number Invoice Date IGST Paid(INR)
XXXXXXXXX-18  2017-09-12  946804 </t>
  </si>
  <si>
    <t xml:space="preserve">AWB No. Gateway Port Gateway EGM No. Gateway EGM Date Gateway Site ID Error Code
N.A.  INMUN1  134211  2017-08-30 00:00:00.0  INMUN1  S </t>
  </si>
  <si>
    <t xml:space="preserve">IEC CHA No. Job No. Job Date Port of Discharge Total Package Gross Weight (Kg) FOB(INR) Total Cess (INR) Drawback STR Total (DBK+STR) CIN NO. CIN DT. Reward Flag
0511063865  ARPPK3328RCH001  6012243  12 SEP 2017 12:09  IDJKT  1  35  17068.65  0  0  0  0  N.A.  N.A.  Click here to view item wise reward details </t>
  </si>
  <si>
    <t xml:space="preserve">EGM No. EGM Date Container No. Seal No. Error Message
R157821809  2017-9-18 0.0.0.0  WHLU5173740  403333  N.A. </t>
  </si>
  <si>
    <t xml:space="preserve">GSTIN    -    06AXXXXXXXXB1ZW
Invoice Number Invoice Date IGST Paid(INR)
XXXXXX338  2017-09-12  5036 </t>
  </si>
  <si>
    <t xml:space="preserve">IEC CHA No. Job No. Job Date Port of Discharge Total Package Gross Weight (Kg) FOB(INR) Total Cess (INR) Drawback STR Total (DBK+STR) CIN NO. CIN DT. Reward Flag
0598059113  AASPK9028QCH001  6016290  12 SEP 2017 12:09  TZDAR  845  10250  1390057.9  0  97304  0  97304  N.A.  N.A.  Click here to view item wise reward details </t>
  </si>
  <si>
    <t xml:space="preserve">Current Que LEO Date EP Copy Print Status DBK Scroll No Scroll Date EGM Integration Status
HIST  16 SEP 2017 00:09  Y  22032/2017  06 OCT 2017 00:10  Y </t>
  </si>
  <si>
    <t xml:space="preserve">EGM No. EGM Date Container No. Seal No. Error Message
R777282109  2017-9-21 0.0.0.0  MSCU3061583  403622  N.A. </t>
  </si>
  <si>
    <t xml:space="preserve">GSTIN    -    07AXXXXXXXXL1ZI
Invoice Number Invoice Date IGST Paid(INR)
XXXXXXXXXXXX/33  2017-09-06  171626 </t>
  </si>
  <si>
    <t xml:space="preserve">AWB No. Gateway Port Gateway EGM No. Gateway EGM Date Gateway Site ID Error Code
N.A.  INMUN1  134919  2017-09-12 00:00:00.0  INMUN1  S </t>
  </si>
  <si>
    <t>2017/09/13</t>
  </si>
  <si>
    <t xml:space="preserve">IEC CHA No. Job No. Job Date Port of Discharge Total Package Gross Weight (Kg) FOB(INR) Total Cess (INR) Drawback STR Total (DBK+STR) CIN NO. CIN DT. Reward Flag
0514025026  ARPPK3328RCH001  6020998  13 SEP 2017 12:09  BDCGP  13  448  89182.5  0  1784  0  1784  N.A.  N.A.  Click here to view item wise reward details </t>
  </si>
  <si>
    <t xml:space="preserve">GSTIN    -    07AXXXXXXXXF1ZR
Invoice Number Invoice Date IGST Paid(INR)
XXXXXXXXXXXX057  2017-09-12  25270 </t>
  </si>
  <si>
    <t>2017/09/14</t>
  </si>
  <si>
    <t xml:space="preserve">IEC CHA No. Job No. Job Date Port of Discharge Total Package Gross Weight (Kg) FOB(INR) Total Cess (INR) Drawback STR Total (DBK+STR) CIN NO. CIN DT. Reward Flag
0506062538  AAQPP8189FCH001  6063792  14 SEP 2017 12:09  KWSWK  4  1847.2  451763.13  0  4731  0  4731  N.A.  N.A.  Click here to view item wise reward details </t>
  </si>
  <si>
    <t xml:space="preserve">Current Que LEO Date EP Copy Print Status DBK Scroll No Scroll Date EGM Integration Status
HIST  18 SEP 2017 00:09  Y  22137/2017  13 OCT 2017 00:10  Y </t>
  </si>
  <si>
    <t xml:space="preserve">EGM No. EGM Date Container No. Seal No. Error Message
R227902509  2017-9-25 0.0.0.0  HLXU4543158  403952  N.A. </t>
  </si>
  <si>
    <t xml:space="preserve">GSTIN    -    05AXXXXXXXXJ1ZY
Invoice Number Invoice Date IGST Paid(INR)
002  2017-09-12  81316 </t>
  </si>
  <si>
    <t xml:space="preserve">AWB No. Gateway Port Gateway EGM No. Gateway EGM Date Gateway Site ID Error Code
N.A.  INNSA1  135503  2017-09-21 00:00:00.0  INNSA1  C </t>
  </si>
  <si>
    <t xml:space="preserve">IEC CHA No. Job No. Job Date Port of Discharge Total Package Gross Weight (Kg) FOB(INR) Total Cess (INR) Drawback STR Total (DBK+STR) CIN NO. CIN DT. Reward Flag
0508075416  AVAPS6694RCH001  6065307  14 SEP 2017 12:09  CNSZX  40  1008.4  131387.96  0  0  0  0  N.A.  N.A.  Click here to view item wise reward details </t>
  </si>
  <si>
    <t xml:space="preserve">Current Que LEO Date EP Copy Print Status DBK Scroll No Scroll Date EGM Integration Status
HIST  16 SEP 2017 00:09  Y  N.A.  N.A.  Y </t>
  </si>
  <si>
    <t xml:space="preserve">EGM No. EGM Date Container No. Seal No. Error Message
R227902509  2017-9-25 0.0.0.0  BSIU3015188  403955  N.A. </t>
  </si>
  <si>
    <t xml:space="preserve">GSTIN    -    06AXXXXXXXXG1ZF
Invoice Number Invoice Date IGST Paid(INR)
XXXX508  2017-09-11  24898 </t>
  </si>
  <si>
    <t xml:space="preserve">AWB No. Gateway Port Gateway EGM No. Gateway EGM Date Gateway Site ID Error Code
N.A.  INNSA1  135603  2017-09-22 00:00:00.0  INNSA1  S </t>
  </si>
  <si>
    <t>2017/09/15</t>
  </si>
  <si>
    <t xml:space="preserve">IEC CHA No. Job No. Job Date Port of Discharge Total Package Gross Weight (Kg) FOB(INR) Total Cess (INR) Drawback STR Total (DBK+STR) CIN NO. CIN DT. Reward Flag
0504064011  AVAPS6694RCH001  6093141  15 SEP 2017 12:09  MMRGN  882  15492.4  1683614.61  0  33672  0  33672  N.A.  N.A.  Click here to view item wise reward details </t>
  </si>
  <si>
    <t xml:space="preserve">Current Que LEO Date EP Copy Print Status DBK Scroll No Scroll Date EGM Integration Status
HIST  20 SEP 2017 00:09  Y  22137/2017  13 OCT 2017 00:10  Y </t>
  </si>
  <si>
    <t xml:space="preserve">EGM No. EGM Date Container No. Seal No. Error Message
R367602309  2017-9-23 0.0.0.0  KKTU8256558  404113  N.A. </t>
  </si>
  <si>
    <t xml:space="preserve">GSTIN    -    07AXXXXXXXXR1ZX
Invoice Number Invoice Date IGST Paid(INR)
XXXXXXXX-17  2017-09-13  440882 </t>
  </si>
  <si>
    <t xml:space="preserve">AWB No. Gateway Port Gateway EGM No. Gateway EGM Date Gateway Site ID Error Code
N.A.  INMUN1  148326  2018-04-13 00:00:00.0  INMUN1  S </t>
  </si>
  <si>
    <t>2017/09/16</t>
  </si>
  <si>
    <t xml:space="preserve">IEC CHA No. Job No. Job Date Port of Discharge Total Package Gross Weight (Kg) FOB(INR) Total Cess (INR) Drawback STR Total (DBK+STR) CIN NO. CIN DT. Reward Flag
0503013749  AACCP0287DCH001  6103872  16 SEP 2017 12:09  UZTAS  80  2225  845291.98  0  0  0  0  N.A.  N.A.  Click here to view item wise reward details </t>
  </si>
  <si>
    <t xml:space="preserve">Current Que LEO Date EP Copy Print Status DBK Scroll No Scroll Date EGM Integration Status
HIST  03 OCT 2017 00:10  Y  N.A.  N.A.  Y </t>
  </si>
  <si>
    <t xml:space="preserve">EGM No. EGM Date Container No. Seal No. Error Message
R1667820810  2017-10-8 0.0.0.0  PCIU9157109  405628  N.A. </t>
  </si>
  <si>
    <t xml:space="preserve">GSTIN    -    07AXXXXXXXXR1ZG
Invoice Number Invoice Date IGST Paid(INR)
XXXXXXXXXXXXX-18  2017-09-15  243762 </t>
  </si>
  <si>
    <t xml:space="preserve">IEC CHA No. Job No. Job Date Port of Discharge Total Package Gross Weight (Kg) FOB(INR) Total Cess (INR) Drawback STR Total (DBK+STR) CIN NO. CIN DT. Reward Flag
0511035675  BWXPS5491PCH001  6115190  16 SEP 2017 12:09  ZAJNB  136  3453  878242.06  0  0  0  0  N.A.  N.A.  Click here to view item wise reward details </t>
  </si>
  <si>
    <t xml:space="preserve">Current Que LEO Date EP Copy Print Status DBK Scroll No Scroll Date EGM Integration Status
HIST  19 SEP 2017 00:09  Y  N.A.  N.A.  Y </t>
  </si>
  <si>
    <t xml:space="preserve">EGM No. EGM Date Container No. Seal No. Error Message
T507322809  2017-9-28 0.0.0.0  KKFU7110034  404820  N.A. </t>
  </si>
  <si>
    <t xml:space="preserve">GSTIN    -    07AXXXXXXXXK1ZN
Invoice Number Invoice Date IGST Paid(INR)
XXXXXXXXXXXXXX017  2017-07-20  245896 </t>
  </si>
  <si>
    <t xml:space="preserve">AWB No. Gateway Port Gateway EGM No. Gateway EGM Date Gateway Site ID Error Code
N.A.  INNSA1  135349  2017-09-19 00:00:00.0  INNSA1  C </t>
  </si>
  <si>
    <t xml:space="preserve">IEC CHA No. Job No. Job Date Port of Discharge Total Package Gross Weight (Kg) FOB(INR) Total Cess (INR) Drawback STR Total (DBK+STR) CIN NO. CIN DT. Reward Flag
0514036265  AAFCS0723ACH002  6117091  16 SEP 2017 12:09  GBFXT  210  3250  460178.54  0  6903  0  6903  N.A.  N.A.  Click here to view item wise reward details </t>
  </si>
  <si>
    <t xml:space="preserve">Current Que LEO Date EP Copy Print Status DBK Scroll No Scroll Date EGM Integration Status
HIST  21 SEP 2017 00:09  Y  22137/2017  13 OCT 2017 00:10  Y </t>
  </si>
  <si>
    <t xml:space="preserve">EGM No. EGM Date Container No. Seal No. Error Message
T987822409  2017-9-24 0.0.0.0  TGHU2668341  404194  N.A. </t>
  </si>
  <si>
    <t xml:space="preserve">GSTIN    -    07AXXXXXXXXE1ZC
Invoice Number Invoice Date IGST Paid(INR)
007  2017-09-15  90209 </t>
  </si>
  <si>
    <t xml:space="preserve">AWB No. Gateway Port Gateway EGM No. Gateway EGM Date Gateway Site ID Error Code
N.A.  INMUN1  135887  2017-09-27 00:00:00.0  INMUN1  S </t>
  </si>
  <si>
    <t>2017/09/19</t>
  </si>
  <si>
    <t xml:space="preserve">IEC CHA No. Job No. Job Date Port of Discharge Total Package Gross Weight (Kg) FOB(INR) Total Cess (INR) Drawback STR Total (DBK+STR) CIN NO. CIN DT. Reward Flag
0593067517  AHEPG6607LCH001  6159589  19 SEP 2017 12:09  KWSWK  650  6925  3279512.5  0  4853  0  4853  N.A.  N.A.  Click here to view item wise reward details </t>
  </si>
  <si>
    <t xml:space="preserve">Current Que LEO Date EP Copy Print Status DBK Scroll No Scroll Date EGM Integration Status
HIST  23 SEP 2017 00:09  Y  22137/2017  13 OCT 2017 00:10  Y </t>
  </si>
  <si>
    <t xml:space="preserve">EGM No. EGM Date Container No. Seal No. Error Message
T657202709  2017-9-27 0.0.0.0  TCKU3783810  404712  N.A. </t>
  </si>
  <si>
    <t xml:space="preserve">GSTIN    -    07AXXXXXXXXQ1ZV
Invoice Number Invoice Date IGST Paid(INR)
XXXXXXXX017  2017-09-18  168374 </t>
  </si>
  <si>
    <t xml:space="preserve">AWB No. Gateway Port Gateway EGM No. Gateway EGM Date Gateway Site ID Error Code
N.A.  INMUN1  136169  2017-10-03 00:00:00.0  INMUN1  S </t>
  </si>
  <si>
    <t xml:space="preserve">IEC CHA No. Job No. Job Date Port of Discharge Total Package Gross Weight (Kg) FOB(INR) Total Cess (INR) Drawback STR Total (DBK+STR) CIN NO. CIN DT. Reward Flag
0515076741  AEMPB3106JCH001  6161428  19 SEP 2017 12:09  GBLON  29  511  435906.6  0  31567  0  31567  N.A.  N.A.  Click here to view item wise reward details </t>
  </si>
  <si>
    <t xml:space="preserve">Current Que LEO Date EP Copy Print Status DBK Scroll No Scroll Date EGM Integration Status
HIST  21 SEP 2017 00:09  Y  22032/2017  06 OCT 2017 00:10  Y </t>
  </si>
  <si>
    <t xml:space="preserve">EGM No. EGM Date Container No. Seal No. Error Message
T257542209  2017-9-22 0.0.0.0  MSKU0286482  403929  N.A. </t>
  </si>
  <si>
    <t xml:space="preserve">ROSL Availed Amount(INR) Scroll Number Scroll Date
Y  14649  25835/2017  2017-10-15 0.0.0.0 </t>
  </si>
  <si>
    <t xml:space="preserve">GSTIN    -    06BXXXXXXXXM1ZI
Invoice Number Invoice Date IGST Paid(INR)
32  2017-09-19  21793 </t>
  </si>
  <si>
    <t xml:space="preserve">AWB No. Gateway Port Gateway EGM No. Gateway EGM Date Gateway Site ID Error Code
N.A.  INNSA1  134741  2017-09-08 00:00:00.0  INNSA1  S </t>
  </si>
  <si>
    <t xml:space="preserve">IEC CHA No. Job No. Job Date Port of Discharge Total Package Gross Weight (Kg) FOB(INR) Total Cess (INR) Drawback STR Total (DBK+STR) CIN NO. CIN DT. Reward Flag
0307055078  AKXPB2292ECH001  6162771  19 SEP 2017 12:09  SEGOT  8  1607  508055.63  0  2609  0  2609  N.A.  N.A.  Click here to view item wise reward details </t>
  </si>
  <si>
    <t xml:space="preserve">Current Que LEO Date EP Copy Print Status DBK Scroll No Scroll Date EGM Integration Status
HIST  22 SEP 2017 00:09  Y  22137/2017  13 OCT 2017 00:10  Y </t>
  </si>
  <si>
    <t xml:space="preserve">EGM No. EGM Date Container No. Seal No. Error Message
R627583009  2017-9-30 0.0.0.0  WHLU5123143  404839  N.A. </t>
  </si>
  <si>
    <t xml:space="preserve">GSTIN    -    27AXXXXXXXXA1ZR
Invoice Number Invoice Date IGST Paid(INR)
X505  2017-09-14  43054 </t>
  </si>
  <si>
    <t xml:space="preserve">AWB No. Gateway Port Gateway EGM No. Gateway EGM Date Gateway Site ID Error Code
N.A.  INNSA1  136236  2017-10-04 00:00:00.0  INNSA1  C </t>
  </si>
  <si>
    <t xml:space="preserve">IEC CHA No. Job No. Job Date Port of Discharge Total Package Gross Weight (Kg) FOB(INR) Total Cess (INR) Drawback STR Total (DBK+STR) CIN NO. CIN DT. Reward Flag
0598005536  AMJPS3049QCH001  6162967  19 SEP 2017 12:09  ZAPLZ  35  900  320266.38  0  4804  0  4804  N.A.  N.A.  Click here to view item wise reward details </t>
  </si>
  <si>
    <t xml:space="preserve">Current Que LEO Date EP Copy Print Status DBK Scroll No Scroll Date EGM Integration Status
HIST  23 SEP 2017 00:09  Y  22260/2017  24 OCT 2017 00:10  Y </t>
  </si>
  <si>
    <t xml:space="preserve">EGM No. EGM Date Container No. Seal No. Error Message
R1417663009  2017-9-30 0.0.0.0  MSCU3996447  404832  N.A. </t>
  </si>
  <si>
    <t xml:space="preserve">GSTIN    -    06AXXXXXXXXK1ZT
Invoice Number Invoice Date IGST Paid(INR)
XXXXXXX-18  2017-09-11  57646 </t>
  </si>
  <si>
    <t xml:space="preserve">AWB No. Gateway Port Gateway EGM No. Gateway EGM Date Gateway Site ID Error Code
N.A.  INMUN1  136501  2017-10-08 00:00:00.0  INMUN1  S </t>
  </si>
  <si>
    <t>2017/09/20</t>
  </si>
  <si>
    <t xml:space="preserve">IEC CHA No. Job No. Job Date Port of Discharge Total Package Gross Weight (Kg) FOB(INR) Total Cess (INR) Drawback STR Total (DBK+STR) CIN NO. CIN DT. Reward Flag
0501045813  AACCC6225CCH001  6187499  20 SEP 2017 12:09  AEAUH  4  320  194985.6  0  0  0  0  N.A.  N.A.  Click here to view item wise reward details </t>
  </si>
  <si>
    <t xml:space="preserve">Current Que LEO Date EP Copy Print Status DBK Scroll No Scroll Date EGM Integration Status
HIST  25 SEP 2017 00:09  Y  N.A.  N.A.  Y </t>
  </si>
  <si>
    <t xml:space="preserve">EGM No. EGM Date Container No. Seal No. Error Message
R1287020910  2017-10-9 0.0.0.0  WHLU5190049  406519  N.A. </t>
  </si>
  <si>
    <t xml:space="preserve">GSTIN    -    07AXXXXXXXXM2ZO
Invoice Number Invoice Date IGST Paid(INR)
002  2017-09-18  35097 </t>
  </si>
  <si>
    <t xml:space="preserve">AWB No. Gateway Port Gateway EGM No. Gateway EGM Date Gateway Site ID Error Code
N.A.  INNSA1  136144  2017-10-03 00:00:00.0  INNSA1  C </t>
  </si>
  <si>
    <t xml:space="preserve">IEC CHA No. Job No. Job Date Port of Discharge Total Package Gross Weight (Kg) FOB(INR) Total Cess (INR) Drawback STR Total (DBK+STR) CIN NO. CIN DT. Reward Flag
1216900370  AAECA9987BCH004  6195467  20 SEP 2017 12:09  AEJEA  4  6400  1220725  0  24415  0  24415  N.A.  N.A.  Click here to view item wise reward details </t>
  </si>
  <si>
    <t xml:space="preserve">Current Que LEO Date EP Copy Print Status DBK Scroll No Scroll Date EGM Integration Status
HIST  23 SEP 2017 00:09  Y  22528/2017  10 NOV 2017 00:11  Y </t>
  </si>
  <si>
    <t xml:space="preserve">EGM No. EGM Date Container No. Seal No. Error Message
R687402909  2017-9-29 0.0.0.0  ETEU8125022  404528  N.A. </t>
  </si>
  <si>
    <t xml:space="preserve">GSTIN    -    03AXXXXXXXXQ1Z4
Invoice Number Invoice Date IGST Paid(INR)
XXXXXXXXX-18  2017-09-18  210622 </t>
  </si>
  <si>
    <t xml:space="preserve">IEC CHA No. Job No. Job Date Port of Discharge Total Package Gross Weight (Kg) FOB(INR) Total Cess (INR) Drawback STR Total (DBK+STR) CIN NO. CIN DT. Reward Flag
0517500531  CUZPS3942QCH001  6196554  20 SEP 2017 12:09  THBKK  19  1645.5  1382961.25  0  3719  0  3719  N.A.  N.A.  Click here to view item wise reward details </t>
  </si>
  <si>
    <t xml:space="preserve">Current Que LEO Date EP Copy Print Status DBK Scroll No Scroll Date EGM Integration Status
HIST  25 SEP 2017 00:09  Y  22260/2017  24 OCT 2017 00:10  Y </t>
  </si>
  <si>
    <t xml:space="preserve">EGM No. EGM Date Container No. Seal No. Error Message
R1667180410  2017-10-4 0.0.0.0  GESU3267295  404881  N.A. </t>
  </si>
  <si>
    <t xml:space="preserve">GSTIN    -    07BXXXXXXXXQ1Z9
Invoice Number Invoice Date IGST Paid(INR)
XXXXXXX163  2017-09-20  248932 </t>
  </si>
  <si>
    <t>2017/09/21</t>
  </si>
  <si>
    <t xml:space="preserve">IEC CHA No. Job No. Job Date Port of Discharge Total Package Gross Weight (Kg) FOB(INR) Total Cess (INR) Drawback STR Total (DBK+STR) CIN NO. CIN DT. Reward Flag
0508003300  AHDPK8975CCH001  6207489  21 SEP 2017 12:09  QADOH  13  3455  636421.5  0  12728  0  12728  N.A.  N.A.  Click here to view item wise reward details </t>
  </si>
  <si>
    <t xml:space="preserve">Current Que LEO Date EP Copy Print Status DBK Scroll No Scroll Date EGM Integration Status
HIST  22 SEP 2017 00:09  Y  22374/2017  31 OCT 2017 00:10  Y </t>
  </si>
  <si>
    <t xml:space="preserve">EGM No. EGM Date Container No. Seal No. Error Message
R957122609  2017-9-26 0.0.0.0  CAXU9027937  403976  N.A. </t>
  </si>
  <si>
    <t xml:space="preserve">GSTIN    -    06AXXXXXXXXH1ZO
Invoice Number Invoice Date IGST Paid(INR)
XXXXXXXXXXXX-18  2017-09-13  114555 </t>
  </si>
  <si>
    <t xml:space="preserve">AWB No. Gateway Port Gateway EGM No. Gateway EGM Date Gateway Site ID Error Code
N.A.  INNSA1  135731  2017-09-25 00:00:00.0  INNSA1  S </t>
  </si>
  <si>
    <t xml:space="preserve">IEC CHA No. Job No. Job Date Port of Discharge Total Package Gross Weight (Kg) FOB(INR) Total Cess (INR) Drawback STR Total (DBK+STR) CIN NO. CIN DT. Reward Flag
0397084901  AAACU5306LCH002  6209700  21 SEP 2017 12:09  TZDAR  40  912.927  372289.5  0  0  0  0  N.A.  N.A.  Click here to view item wise reward details </t>
  </si>
  <si>
    <t xml:space="preserve">Current Que LEO Date EP Copy Print Status DBK Scroll No Scroll Date EGM Integration Status
HIST  26 SEP 2017 00:09  Y  N.A.  N.A.  Y </t>
  </si>
  <si>
    <t xml:space="preserve">EGM No. EGM Date Container No. Seal No. Error Message
R1317440610  2017-10-6 0.0.0.0  GESU3460468  405618  N.A. </t>
  </si>
  <si>
    <t xml:space="preserve">GSTIN    -    26AXXXXXXXXN2Z5
Invoice Number Invoice Date IGST Paid(INR)
XXXXXXXXXXX-08  2017-08-12  66584 </t>
  </si>
  <si>
    <t xml:space="preserve">AWB No. Gateway Port Gateway EGM No. Gateway EGM Date Gateway Site ID Error Code
N.A.  INNSA1  135726  2017-09-25 00:00:00.0  INNSA1  S </t>
  </si>
  <si>
    <t>2017/09/22</t>
  </si>
  <si>
    <t xml:space="preserve">IEC CHA No. Job No. Job Date Port of Discharge Total Package Gross Weight (Kg) FOB(INR) Total Cess (INR) Drawback STR Total (DBK+STR) CIN NO. CIN DT. Reward Flag
0595012647  AAACC6689ECH001  6242266  22 SEP 2017 12:09  PKKHI  457  7039  1926629.43  0  28899  0  28899  N.A.  N.A.  Click here to view item wise reward details </t>
  </si>
  <si>
    <t xml:space="preserve">Current Que LEO Date EP Copy Print Status DBK Scroll No Scroll Date EGM Integration Status
HIST  11 OCT 2017 00:10  Y  22374/2017  31 OCT 2017 00:10  Y </t>
  </si>
  <si>
    <t xml:space="preserve">EGM No. EGM Date Container No. Seal No. Error Message
R557581410  2017-10-14 0.0.0.0  SEGU4659588  407217  N.A. </t>
  </si>
  <si>
    <t xml:space="preserve">GSTIN    -    07AXXXXXXXXB1ZR
Invoice Number Invoice Date IGST Paid(INR)
XXXXXXXXX-18  2017-09-20  229557 </t>
  </si>
  <si>
    <t xml:space="preserve">AWB No. Gateway Port Gateway EGM No. Gateway EGM Date Gateway Site ID Error Code
N.A.  INMUN1  136070  2017-09-29 00:00:00.0  INMUN1  S </t>
  </si>
  <si>
    <t>2017/09/23</t>
  </si>
  <si>
    <t xml:space="preserve">IEC CHA No. Job No. Job Date Port of Discharge Total Package Gross Weight (Kg) FOB(INR) Total Cess (INR) Drawback STR Total (DBK+STR) CIN NO. CIN DT. Reward Flag
0504064754  FHMPS1058ECH001  6265937  23 SEP 2017 12:09  LKCMB  4  430  669477.45  0  13254  0  13254  N.A.  N.A.  Click here to view item wise reward details </t>
  </si>
  <si>
    <t xml:space="preserve">Current Que LEO Date EP Copy Print Status DBK Scroll No Scroll Date EGM Integration Status
HIST  27 SEP 2017 00:09  Y  22260/2017  24 OCT 2017 00:10  Y </t>
  </si>
  <si>
    <t xml:space="preserve">EGM No. EGM Date Container No. Seal No. Error Message
R577800810  2017-10-8 0.0.0.0  HDMU6805133  406508  N.A. </t>
  </si>
  <si>
    <t xml:space="preserve">GSTIN    -    09AXXXXXXXXP2ZF
Invoice Number Invoice Date IGST Paid(INR)
XXXXXXXXX/19  2017-09-20  33260 </t>
  </si>
  <si>
    <t xml:space="preserve">AWB No. Gateway Port Gateway EGM No. Gateway EGM Date Gateway Site ID Error Code
N.A.  INNSA1  135331  2017-09-19 00:00:00.0  INNSA1  S </t>
  </si>
  <si>
    <t xml:space="preserve">IEC CHA No. Job No. Job Date Port of Discharge Total Package Gross Weight (Kg) FOB(INR) Total Cess (INR) Drawback STR Total (DBK+STR) CIN NO. CIN DT. Reward Flag
0595012647  AAACC6689ECH001  6266212  23 SEP 2017 12:09  PKKHI  1558  24084  4723665.86  0  70855  0  70855  N.A.  N.A.  Click here to view item wise reward details </t>
  </si>
  <si>
    <t xml:space="preserve">Current Que LEO Date EP Copy Print Status DBK Scroll No Scroll Date EGM Integration Status
HIST  28 SEP 2017 00:09  Y  22137/2017  13 OCT 2017 00:10  Y </t>
  </si>
  <si>
    <t xml:space="preserve">EGM No. EGM Date Container No. Seal No. Error Message
R557720110  2017-10-1 0.0.0.0  BMOU6932354  001869  N.A. </t>
  </si>
  <si>
    <t xml:space="preserve">GSTIN    -    07AXXXXXXXXB1ZR
Invoice Number Invoice Date IGST Paid(INR)
XXXXXXXX-18  2017-09-22  562831 </t>
  </si>
  <si>
    <t xml:space="preserve">AWB No. Gateway Port Gateway EGM No. Gateway EGM Date Gateway Site ID Error Code
N.A.  INMUN1  134212  2017-08-30 00:00:00.0  INMUN1  S </t>
  </si>
  <si>
    <t>2017/09/25</t>
  </si>
  <si>
    <t xml:space="preserve">IEC CHA No. Job No. Job Date Port of Discharge Total Package Gross Weight (Kg) FOB(INR) Total Cess (INR) Drawback STR Total (DBK+STR) CIN NO. CIN DT. Reward Flag
3397001846  AACCP0287DCH001  6295756  25 SEP 2017 12:09  COBUN  58  3295.5  465626.62  0  6984  0  6984  N.A.  N.A.  Click here to view item wise reward details </t>
  </si>
  <si>
    <t xml:space="preserve">Current Que LEO Date EP Copy Print Status DBK Scroll No Scroll Date EGM Integration Status
HIST  28 SEP 2017 00:09  Y  22260/2017  24 OCT 2017 00:10  Y </t>
  </si>
  <si>
    <t xml:space="preserve">EGM No. EGM Date Container No. Seal No. Error Message
R1217640710  2017-10-7 0.0.0.0  MRKU6860723  406078  N.A. </t>
  </si>
  <si>
    <t xml:space="preserve">GSTIN    -    06AXXXXXXXXK1ZR
Invoice Number Invoice Date IGST Paid(INR)
XXXXXXXXXXXXXX-18  2017-09-21  56752 </t>
  </si>
  <si>
    <t xml:space="preserve">AWB No. Gateway Port Gateway EGM No. Gateway EGM Date Gateway Site ID Error Code
N.A.  INNSA1  134677  2017-09-07 00:00:00.0  INNSA1  S </t>
  </si>
  <si>
    <t xml:space="preserve">IEC CHA No. Job No. Job Date Port of Discharge Total Package Gross Weight (Kg) FOB(INR) Total Cess (INR) Drawback STR Total (DBK+STR) CIN NO. CIN DT. Reward Flag
3397001846  AACCP0287DCH001  6295879  25 SEP 2017 12:09  COBUN  60  3785.3  495278.97  0  7429  0  7429  N.A.  N.A.  Click here to view item wise reward details </t>
  </si>
  <si>
    <t xml:space="preserve">EGM No. EGM Date Container No. Seal No. Error Message
R1317440610  2017-10-6 0.0.0.0  MRKU6812849  406077  N.A. </t>
  </si>
  <si>
    <t xml:space="preserve">GSTIN    -    06AXXXXXXXXK1ZR
Invoice Number Invoice Date IGST Paid(INR)
XXXXXXXXXXXXXX-18  2017-09-15  59806 </t>
  </si>
  <si>
    <t>2017/09/26</t>
  </si>
  <si>
    <t xml:space="preserve">IEC CHA No. Job No. Job Date Port of Discharge Total Package Gross Weight (Kg) FOB(INR) Total Cess (INR) Drawback STR Total (DBK+STR) CIN NO. CIN DT. Reward Flag
0594048621  AASPK9028QCH001  6319139  26 SEP 2017 12:09  BEANR  15  1064  519395.84  0  43153  0  43153  N.A.  N.A.  Click here to view item wise reward details </t>
  </si>
  <si>
    <t xml:space="preserve">Current Que LEO Date EP Copy Print Status DBK Scroll No Scroll Date EGM Integration Status
HIST  29 SEP 2017 00:09  Y  22374/2017  31 OCT 2017 00:10  Y </t>
  </si>
  <si>
    <t xml:space="preserve">EGM No. EGM Date Container No. Seal No. Error Message
TX227401910  2017-10-19 0.0.0.0  CAXU3150029  407289  N.A. </t>
  </si>
  <si>
    <t xml:space="preserve">GSTIN    -    07AXXXXXXXXH1ZE
Invoice Number Invoice Date IGST Paid(INR)
XX-01  2017-09-25  81717 </t>
  </si>
  <si>
    <t xml:space="preserve">AWB No. Gateway Port Gateway EGM No. Gateway EGM Date Gateway Site ID Error Code
N.A.  INMUN1  135372  2017-09-19 00:00:00.0  INMUN1  S </t>
  </si>
  <si>
    <t xml:space="preserve">IEC CHA No. Job No. Job Date Port of Discharge Total Package Gross Weight (Kg) FOB(INR) Total Cess (INR) Drawback STR Total (DBK+STR) CIN NO. CIN DT. Reward Flag
DOOPK1147B  AJXPC1898GCH001  6330276  26 SEP 2017 12:09  AEJEA  53  901  4812968.16  0  471671  0  471671  N.A.  N.A.  Click here to view item wise reward details </t>
  </si>
  <si>
    <t xml:space="preserve">Current Que LEO Date EP Copy Print Status DBK Scroll No Scroll Date EGM Integration Status
HIST  29 SEP 2017 00:09  Y  22528/2017  10 NOV 2017 00:11  Y </t>
  </si>
  <si>
    <t xml:space="preserve">EGM No. EGM Date Container No. Seal No. Error Message
R977361210  2017-10-12 0.0.0.0  TGHU9620740  406014  N.A. </t>
  </si>
  <si>
    <t xml:space="preserve">ROSL Availed Amount(INR) Scroll Number Scroll Date
Y  129950  25851/2017  2017-11-10 0.0.0.0 </t>
  </si>
  <si>
    <t xml:space="preserve">GSTIN    -    07DXXXXXXXXB1Z5
Invoice Number Invoice Date IGST Paid(INR)
XXXXXXXXXXXX-18  2017-09-25  240648 </t>
  </si>
  <si>
    <t xml:space="preserve">AWB No. Gateway Port Gateway EGM No. Gateway EGM Date Gateway Site ID Error Code
N.A.  INMUN1  139832  2017-11-30 00:00:00.0  INMUN1  S </t>
  </si>
  <si>
    <t xml:space="preserve">IEC CHA No. Job No. Job Date Port of Discharge Total Package Gross Weight (Kg) FOB(INR) Total Cess (INR) Drawback STR Total (DBK+STR) CIN NO. CIN DT. Reward Flag
DOOPK1147B  AJXPC1898GCH001  6330279  26 SEP 2017 12:09  AEJEA  40  800  4973148.18  0  487369  0  487369  N.A.  N.A.  Click here to view item wise reward details </t>
  </si>
  <si>
    <t xml:space="preserve">ROSL Availed Amount(INR) Scroll Number Scroll Date
Y  134275  25851/2017  2017-11-10 0.0.0.0 </t>
  </si>
  <si>
    <t xml:space="preserve">GSTIN    -    07DXXXXXXXXB1Z5
Invoice Number Invoice Date IGST Paid(INR)
XXXXXXXXXXXX-18  2017-09-25  248657 </t>
  </si>
  <si>
    <t xml:space="preserve">IEC CHA No. Job No. Job Date Port of Discharge Total Package Gross Weight (Kg) FOB(INR) Total Cess (INR) Drawback STR Total (DBK+STR) CIN NO. CIN DT. Reward Flag
DOOPK1147B  AJXPC1898GCH001  6330311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</si>
  <si>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6330308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</si>
  <si>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6330314  26 SEP 2017 12:09  AEJEA  54  918  4903778.88  0  480570  0  480570  N.A.  N.A.  Click here to view item wise reward details </t>
  </si>
  <si>
    <t xml:space="preserve">ROSL Availed Amount(INR) Scroll Number Scroll Date
Y  132402  25851/2017  2017-11-10 0.0.0.0 </t>
  </si>
  <si>
    <t xml:space="preserve">GSTIN    -    07DXXXXXXXXB1Z5
Invoice Number Invoice Date IGST Paid(INR)
XXXXXXXXXXXX-18  2017-09-25  245188 </t>
  </si>
  <si>
    <t xml:space="preserve">IEC CHA No. Job No. Job Date Port of Discharge Total Package Gross Weight (Kg) FOB(INR) Total Cess (INR) Drawback STR Total (DBK+STR) CIN NO. CIN DT. Reward Flag
DOOPK1147B  AJXPC1898GCH001  6332056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</si>
  <si>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0510005021  AQBPK4529MCH001  6335318  26 SEP 2017 12:09  IDJKT  2  300  132432.3  0  0  0  0  N.A.  N.A.  Click here to view item wise reward details </t>
  </si>
  <si>
    <t xml:space="preserve">Current Que LEO Date EP Copy Print Status DBK Scroll No Scroll Date EGM Integration Status
HIST  04 OCT 2017 00:10  Y  N.A.  N.A.  Y </t>
  </si>
  <si>
    <t xml:space="preserve">EGM No. EGM Date Container No. Seal No. Error Message
R137720810  2017-10-8 0.0.0.0  CNSU2028217  405679  N.A. </t>
  </si>
  <si>
    <t xml:space="preserve">GSTIN    -    07AXXXXXXXXN1Z4
Invoice Number Invoice Date IGST Paid(INR)
XXXXXXXXXXXXX001  2017-09-12  36391 </t>
  </si>
  <si>
    <t xml:space="preserve">AWB No. Gateway Port Gateway EGM No. Gateway EGM Date Gateway Site ID Error Code
N.A.  INMUN1  137768  2017-10-28 00:00:00.0  INMUN1  S </t>
  </si>
  <si>
    <t>2017/09/27</t>
  </si>
  <si>
    <t xml:space="preserve">IEC CHA No. Job No. Job Date Port of Discharge Total Package Gross Weight (Kg) FOB(INR) Total Cess (INR) Drawback STR Total (DBK+STR) CIN NO. CIN DT. Reward Flag
0509035337  AAACT6486CCH003  6360604  27 SEP 2017 12:09  LKCMB  418  13886.7  1484685.84  0  21072  0  21072  N.A.  N.A.  Click here to view item wise reward details </t>
  </si>
  <si>
    <t xml:space="preserve">Current Que LEO Date EP Copy Print Status DBK Scroll No Scroll Date EGM Integration Status
HIST  04 OCT 2017 00:10  Y  22260/2017  24 OCT 2017 00:10  Y </t>
  </si>
  <si>
    <t xml:space="preserve">EGM No. EGM Date Container No. Seal No. Error Message
R1217640710  2017-10-7 0.0.0.0  WHLU2822403  406178  N.A. </t>
  </si>
  <si>
    <t xml:space="preserve">GSTIN    -    06AXXXXXXXXQ1Z8
Invoice Number Invoice Date IGST Paid(INR)
XXXXXXXXXXX-18  2017-09-26  183793 </t>
  </si>
  <si>
    <t xml:space="preserve">AWB No. Gateway Port Gateway EGM No. Gateway EGM Date Gateway Site ID Error Code
N.A.  INNSA1  136158  2017-10-03 00:00:00.0  INNSA1  S </t>
  </si>
  <si>
    <t xml:space="preserve">IEC CHA No. Job No. Job Date Port of Discharge Total Package Gross Weight (Kg) FOB(INR) Total Cess (INR) Drawback STR Total (DBK+STR) CIN NO. CIN DT. Reward Flag
0599059206  AQBPK4529MCH001  6365735  27 SEP 2017 12:09  MVMLE  2100  2130  901609.8  0  0  0  0  N.A.  N.A.  Click here to view item wise reward details </t>
  </si>
  <si>
    <t xml:space="preserve">EGM No. EGM Date Container No. Seal No. Error Message
T437260510  2017-10-5 0.0.0.0  TCNU4466055  000948  N.A. </t>
  </si>
  <si>
    <t xml:space="preserve">GSTIN    -    06AXXXXXXXXG1ZR
Invoice Number Invoice Date IGST Paid(INR)
XXXXXXX/07  2017-09-25  162289 </t>
  </si>
  <si>
    <t xml:space="preserve">AWB No. Gateway Port Gateway EGM No. Gateway EGM Date Gateway Site ID Error Code
N.A.  INMUN1  136519  2017-10-09 00:00:00.0  INMUN1  S </t>
  </si>
  <si>
    <t xml:space="preserve">IEC CHA No. Job No. Job Date Port of Discharge Total Package Gross Weight (Kg) FOB(INR) Total Cess (INR) Drawback STR Total (DBK+STR) CIN NO. CIN DT. Reward Flag
0599059206  AQBPK4529MCH001  6365733  27 SEP 2017 12:09  MVMLE  900  913  386404.2  0  0  0  0  N.A.  N.A.  Click here to view item wise reward details </t>
  </si>
  <si>
    <t xml:space="preserve">EGM No. EGM Date Container No. Seal No. Error Message
T897160410  2017-10-4 0.0.0.0  TCKU1990300  000949  N.A. </t>
  </si>
  <si>
    <t xml:space="preserve">GSTIN    -    06AXXXXXXXXG1ZR
Invoice Number Invoice Date IGST Paid(INR)
XXXXXXX/08  2017-09-25  69552 </t>
  </si>
  <si>
    <t>2017/09/28</t>
  </si>
  <si>
    <t xml:space="preserve">IEC CHA No. Job No. Job Date Port of Discharge Total Package Gross Weight (Kg) FOB(INR) Total Cess (INR) Drawback STR Total (DBK+STR) CIN NO. CIN DT. Reward Flag
0515036919  AARFS2414BCH002  6386402  28 SEP 2017 12:09  ILASH  228  3274.08  2636033.4  0  202975  0  202975  N.A.  N.A.  Click here to view item wise reward details </t>
  </si>
  <si>
    <t xml:space="preserve">Current Que LEO Date EP Copy Print Status DBK Scroll No Scroll Date EGM Integration Status
HIST  29 SEP 2017 00:09  Y  22260/2017  24 OCT 2017 00:10  Y </t>
  </si>
  <si>
    <t xml:space="preserve">EGM No. EGM Date Container No. Seal No. Error Message
R1287020910  2017-10-9 0.0.0.0  CCSU8593755  405692  N.A. </t>
  </si>
  <si>
    <t xml:space="preserve">ROSL Availed Amount(INR) Scroll Number Scroll Date
Y  86988  25844/2017  2017-10-31 0.0.0.0 </t>
  </si>
  <si>
    <t xml:space="preserve">GSTIN    -    09AXXXXXXXXB1ZQ
Invoice Number Invoice Date IGST Paid(INR)
XXXXXXXXXXXXX/16  2017-09-23  131799 </t>
  </si>
  <si>
    <t xml:space="preserve">AWB No. Gateway Port Gateway EGM No. Gateway EGM Date Gateway Site ID Error Code
N.A.  INNSA1  136238  2017-10-04 00:00:00.0  INNSA1  S </t>
  </si>
  <si>
    <t xml:space="preserve">IEC CHA No. Job No. Job Date Port of Discharge Total Package Gross Weight (Kg) FOB(INR) Total Cess (INR) Drawback STR Total (DBK+STR) CIN NO. CIN DT. Reward Flag
3104003254  AAACA3307KCH003  6386620  28 SEP 2017 12:09  ARBUE  1  8  158368.5  0  3167  0  3167  N.A.  N.A.  Click here to view item wise reward details </t>
  </si>
  <si>
    <t xml:space="preserve">Current Que LEO Date EP Copy Print Status DBK Scroll No Scroll Date EGM Integration Status
HIST  06 OCT 2017 00:10  Y  22374/2017  31 OCT 2017 00:10  Y </t>
  </si>
  <si>
    <t xml:space="preserve">EGM No. EGM Date Container No. Seal No. Error Message
T567481910  2017-10-19 0.0.0.0  NYKU4815253  407294  N.A. </t>
  </si>
  <si>
    <t xml:space="preserve">GSTIN    -    27AXXXXXXXXR1ZF
Invoice Number Invoice Date IGST Paid(INR)
XXXXXXXXXXXX-18  2017-09-22  17820 </t>
  </si>
  <si>
    <t xml:space="preserve">AWB No. Gateway Port Gateway EGM No. Gateway EGM Date Gateway Site ID Error Code
N.A.  INNSA1  136898  2017-10-13 00:00:00.0  INNSA1  S </t>
  </si>
  <si>
    <t xml:space="preserve">IEC CHA No. Job No. Job Date Port of Discharge Total Package Gross Weight (Kg) FOB(INR) Total Cess (INR) Drawback STR Total (DBK+STR) CIN NO. CIN DT. Reward Flag
0588079359  AAACU5306LCH002  6389738  28 SEP 2017 12:09  NOOSL  3  1168.5  303050.84  0  6061  0  6061  N.A.  N.A.  Click here to view item wise reward details </t>
  </si>
  <si>
    <t xml:space="preserve">Current Que LEO Date EP Copy Print Status DBK Scroll No Scroll Date EGM Integration Status
HIST  06 OCT 2017 00:10  Y  22260/2017  24 OCT 2017 00:10  Y </t>
  </si>
  <si>
    <t xml:space="preserve">EGM No. EGM Date Container No. Seal No. Error Message
R37161110  2017-10-11 0.0.0.0  WHLU5142863  406553  N.A. </t>
  </si>
  <si>
    <t xml:space="preserve">GSTIN    -    05AXXXXXXXXL3ZW
Invoice Number Invoice Date IGST Paid(INR)
XXXX228  2017-09-06  54545 </t>
  </si>
  <si>
    <t xml:space="preserve">IEC CHA No. Job No. Job Date Port of Discharge Total Package Gross Weight (Kg) FOB(INR) Total Cess (INR) Drawback STR Total (DBK+STR) CIN NO. CIN DT. Reward Flag
3104003254  AAACA3307KCH003  6391825  28 SEP 2017 12:09  ARBUE  1  47  757849.2  0  15157  0  15157  N.A.  N.A.  Click here to view item wise reward details </t>
  </si>
  <si>
    <t xml:space="preserve">Current Que LEO Date EP Copy Print Status DBK Scroll No Scroll Date EGM Integration Status
HIST  06 OCT 2017 00:10  Y  24432/2018  25 MAR 2018 00:03  Y </t>
  </si>
  <si>
    <t xml:space="preserve">GSTIN    -    27AXXXXXXXXR1ZF
Invoice Number Invoice Date IGST Paid(INR)
XXXXXXXXXXXX-18  2017-09-22  70092 </t>
  </si>
  <si>
    <t xml:space="preserve">IEC CHA No. Job No. Job Date Port of Discharge Total Package Gross Weight (Kg) FOB(INR) Total Cess (INR) Drawback STR Total (DBK+STR) CIN NO. CIN DT. Reward Flag
3104003254  AAACA3307KCH003  6392344  28 SEP 2017 12:09  ARBUE  4  142.4  1977449.4  0  39511  0  39511  N.A.  N.A.  Click here to view item wise reward details </t>
  </si>
  <si>
    <t xml:space="preserve">Current Que LEO Date EP Copy Print Status DBK Scroll No Scroll Date EGM Integration Status
HIST  09 OCT 2017 00:10  Y  22374/2017  31 OCT 2017 00:10  Y </t>
  </si>
  <si>
    <t xml:space="preserve">GSTIN    -    27AXXXXXXXXR1ZF
Invoice Number Invoice Date IGST Paid(INR)
XXXXXXXXXXXX-18  2017-09-22  152148 </t>
  </si>
  <si>
    <t xml:space="preserve">IEC CHA No. Job No. Job Date Port of Discharge Total Package Gross Weight (Kg) FOB(INR) Total Cess (INR) Drawback STR Total (DBK+STR) CIN NO. CIN DT. Reward Flag
3104003254  AAACA3307KCH003  6393025  28 SEP 2017 12:09  USNYC  6  298  374976.42  0  6682  0  6682  N.A.  N.A.  Click here to view item wise reward details </t>
  </si>
  <si>
    <t xml:space="preserve">EGM No. EGM Date Container No. Seal No. Error Message
J467261810  2017-10-18 0.0.0.0  TCNU6969193  407275  N.A. </t>
  </si>
  <si>
    <t xml:space="preserve">GSTIN    -    27AXXXXXXXXR1ZF
Invoice Number Invoice Date IGST Paid(INR)
XXXXXXXXXXXX-18  2017-09-19  35762 </t>
  </si>
  <si>
    <t xml:space="preserve">AWB No. Gateway Port Gateway EGM No. Gateway EGM Date Gateway Site ID Error Code
N.A.  INMUN1  135373  2017-09-19 00:00:00.0  INMUN1  S </t>
  </si>
  <si>
    <t>2017/09/29</t>
  </si>
  <si>
    <t xml:space="preserve">IEC CHA No. Job No. Job Date Port of Discharge Total Package Gross Weight (Kg) FOB(INR) Total Cess (INR) Drawback STR Total (DBK+STR) CIN NO. CIN DT. Reward Flag
0589053850  AALCS5528DCH001  6427013  29 SEP 2017 12:09  QADOH  5  2590  400321.38  0  8006  0  8006  N.A.  N.A.  Click here to view item wise reward details </t>
  </si>
  <si>
    <t xml:space="preserve">Current Que LEO Date EP Copy Print Status DBK Scroll No Scroll Date EGM Integration Status
HIST  04 OCT 2017 00:10  Y  22374/2017  31 OCT 2017 00:10  Y </t>
  </si>
  <si>
    <t xml:space="preserve">EGM No. EGM Date Container No. Seal No. Error Message
R297241810  2017-10-18 0.0.0.0  MRKU9663923  407271  N.A. </t>
  </si>
  <si>
    <t xml:space="preserve">GSTIN    -    06AXXXXXXXXM1ZZ
Invoice Number Invoice Date IGST Paid(INR)
053  2017-09-13  72054 </t>
  </si>
  <si>
    <t xml:space="preserve">AWB No. Gateway Port Gateway EGM No. Gateway EGM Date Gateway Site ID Error Code
N.A.  INNSA1  135755  2017-09-25 00:00:00.0  INNSA1  NC </t>
  </si>
  <si>
    <t xml:space="preserve">IEC CHA No. Job No. Job Date Port of Discharge Total Package Gross Weight (Kg) FOB(INR) Total Cess (INR) Drawback STR Total (DBK+STR) CIN NO. CIN DT. Reward Flag
0595012647  AAACC6689ECH001  6428046  29 SEP 2017 12:09  PKKHI  746  10619  3765676.46  0  56485  0  56485  N.A.  N.A.  Click here to view item wise reward details </t>
  </si>
  <si>
    <t xml:space="preserve">Current Que LEO Date EP Copy Print Status DBK Scroll No Scroll Date EGM Integration Status
HIST  10 OCT 2017 00:10  Y  22374/2017  31 OCT 2017 00:10  Y </t>
  </si>
  <si>
    <t xml:space="preserve">EGM No. EGM Date Container No. Seal No. Error Message
R1477041710  2017-10-17 0.0.0.0  BMOU6923100  406966  N.A. </t>
  </si>
  <si>
    <t xml:space="preserve">GSTIN    -    07AXXXXXXXXB1ZR
Invoice Number Invoice Date IGST Paid(INR)
XXXXXXXXX-18  2017-09-27  451879 </t>
  </si>
  <si>
    <t xml:space="preserve">AWB No. Gateway Port Gateway EGM No. Gateway EGM Date Gateway Site ID Error Code
N.A.  INMUN1  136071  2017-09-29 00:00:00.0  INMUN1  S </t>
  </si>
  <si>
    <t xml:space="preserve">IEC CHA No. Job No. Job Date Port of Discharge Total Package Gross Weight (Kg) FOB(INR) Total Cess (INR) Drawback STR Total (DBK+STR) CIN NO. CIN DT. Reward Flag
0595012647  AAACC6689ECH001  6430835  29 SEP 2017 12:09  PKKHI  833  8404  5375435.34  0  80632  0  80632  N.A.  N.A.  Click here to view item wise reward details </t>
  </si>
  <si>
    <t xml:space="preserve">GSTIN    -    07AXXXXXXXXB1ZR
Invoice Number Invoice Date IGST Paid(INR)
XXXXXXXXX-18  2017-09-27  645045 </t>
  </si>
  <si>
    <t xml:space="preserve">IEC CHA No. Job No. Job Date Port of Discharge Total Package Gross Weight (Kg) FOB(INR) Total Cess (INR) Drawback STR Total (DBK+STR) CIN NO. CIN DT. Reward Flag
2915001367  BEEPS0785MCH001  6437389  29 SEP 2017 12:09  MUPLU  61  630.32  394472.44  0  0  0  0  N.A.  N.A.  Click here to view item wise reward details </t>
  </si>
  <si>
    <t xml:space="preserve">EGM No. EGM Date Container No. Seal No. Error Message
R1287020910  2017-10-9 0.0.0.0  TCKU1325362  406513  N.A. </t>
  </si>
  <si>
    <t xml:space="preserve">GSTIN    -    09BXXXXXXXXA1ZM
Invoice Number Invoice Date IGST Paid(INR)
XXXXXXXXXXXXX/17  2017-09-09  24308 
XXXXXXXXXXXXX/17  2017-09-09  22685 </t>
  </si>
  <si>
    <t xml:space="preserve">AWB No. Gateway Port Gateway EGM No. Gateway EGM Date Gateway Site ID Error Code
N.A.  INNSA1  135119  2017-09-14 00:00:00.0  INNSA1  S </t>
  </si>
  <si>
    <t>2017/10/03</t>
  </si>
  <si>
    <t xml:space="preserve">IEC CHA No. Job No. Job Date Port of Discharge Total Package Gross Weight (Kg) FOB(INR) Total Cess (INR) Drawback STR Total (DBK+STR) CIN NO. CIN DT. Reward Flag
0598059113  AASPK9028QCH001  6461434  03 OCT 2017 12:10  AEJEA  845  10250  1383309.2  0  27666  0  27666  N.A.  N.A.  Click here to view item wise reward details </t>
  </si>
  <si>
    <t xml:space="preserve">Current Que LEO Date EP Copy Print Status DBK Scroll No Scroll Date EGM Integration Status
HIST  05 OCT 2017 00:10  Y  22260/2017  24 OCT 2017 00:10  Y </t>
  </si>
  <si>
    <t xml:space="preserve">EGM No. EGM Date Container No. Seal No. Error Message
R137720810  2017-10-8 0.0.0.0  BAXU2688364  406251  N.A. </t>
  </si>
  <si>
    <t xml:space="preserve">GSTIN    -    07AXXXXXXXXL1ZI
Invoice Number Invoice Date IGST Paid(INR)
XXXXXXXXXXXX/34  2017-09-21  165469 </t>
  </si>
  <si>
    <t xml:space="preserve">AWB No. Gateway Port Gateway EGM No. Gateway EGM Date Gateway Site ID Error Code
N.A.  INMUN1  136518  2017-10-09 00:00:00.0  INMUN1  S </t>
  </si>
  <si>
    <t xml:space="preserve">IEC CHA No. Job No. Job Date Port of Discharge Total Package Gross Weight (Kg) FOB(INR) Total Cess (INR) Drawback STR Total (DBK+STR) CIN NO. CIN DT. Reward Flag
0506012905  FHMPS1058ECH001  6485787  03 OCT 2017 12:10  MYPKG  236  23624.15  886195.04  0  0  0  0  N.A.  N.A.  Click here to view item wise reward details </t>
  </si>
  <si>
    <t xml:space="preserve">Current Que LEO Date EP Copy Print Status DBK Scroll No Scroll Date EGM Integration Status
HIST  05 OCT 2017 00:10  Y  N.A.  N.A.  Y </t>
  </si>
  <si>
    <t xml:space="preserve">EGM No. EGM Date Container No. Seal No. Error Message
R37161110  2017-10-11 0.0.0.0  GESU2985600  40629  N.A. </t>
  </si>
  <si>
    <t xml:space="preserve">GSTIN    -    07AXXXXXXXXP2Z7
Invoice Number Invoice Date IGST Paid(INR)
XXXXXXX002  2017-10-03  165318 </t>
  </si>
  <si>
    <t xml:space="preserve">AWB No. Gateway Port Gateway EGM No. Gateway EGM Date Gateway Site ID Error Code
N.A.  INNSA1  136163  2017-10-03 00:00:00.0  INNSA1  C </t>
  </si>
  <si>
    <t>2017/10/04</t>
  </si>
  <si>
    <t xml:space="preserve">IEC CHA No. Job No. Job Date Port of Discharge Total Package Gross Weight (Kg) FOB(INR) Total Cess (INR) Drawback STR Total (DBK+STR) CIN NO. CIN DT. Reward Flag
0504063227  AACCP0287DCH001  6504228  04 OCT 2017 12:10  THLCH  4  940  362593.14  0  7252  0  7252  N.A.  N.A.  Click here to view item wise reward details </t>
  </si>
  <si>
    <t xml:space="preserve">Current Que LEO Date EP Copy Print Status DBK Scroll No Scroll Date EGM Integration Status
HIST  07 OCT 2017 00:10  Y  22374/2017  31 OCT 2017 00:10  Y </t>
  </si>
  <si>
    <t xml:space="preserve">EGM No. EGM Date Container No. Seal No. Error Message
R867621410  2017-10-14 0.0.0.0  NYKU2797166  407212  N.A. </t>
  </si>
  <si>
    <t xml:space="preserve">GSTIN    -    06AXXXXXXXXQ1ZP
Invoice Number Invoice Date IGST Paid(INR)
XXXXXXXX/18  2017-09-28  65266 </t>
  </si>
  <si>
    <t xml:space="preserve">AWB No. Gateway Port Gateway EGM No. Gateway EGM Date Gateway Site ID Error Code
N.A.  INNSA1  135895  2017-09-27 00:00:00.0  INNSA1  S </t>
  </si>
  <si>
    <t xml:space="preserve">IEC CHA No. Job No. Job Date Port of Discharge Total Package Gross Weight (Kg) FOB(INR) Total Cess (INR) Drawback STR Total (DBK+STR) CIN NO. CIN DT. Reward Flag
0588024317  AACFS5709ACH001  6513403  04 OCT 2017 12:10  MUPLU  11  126.5  161777.62  0  0  0  0  N.A.  N.A.  Click here to view item wise reward details </t>
  </si>
  <si>
    <t xml:space="preserve">Current Que LEO Date EP Copy Print Status DBK Scroll No Scroll Date EGM Integration Status
HIST  09 OCT 2017 00:10  Y  N.A.  N.A.  Y </t>
  </si>
  <si>
    <t xml:space="preserve">EGM No. EGM Date Container No. Seal No. Error Message
R867621410  2017-10-14 0.0.0.0  GVCU5250627  407221  N.A. </t>
  </si>
  <si>
    <t xml:space="preserve">GSTIN    -    08AXXXXXXXXM1ZV
Invoice Number Invoice Date IGST Paid(INR)
XXXXXXXXXXXXXX/18  2017-10-03  19275 </t>
  </si>
  <si>
    <t xml:space="preserve">AWB No. Gateway Port Gateway EGM No. Gateway EGM Date Gateway Site ID Error Code
N.A.  INNSA1  135126  2017-09-14 00:00:00.0  INNSA1  S </t>
  </si>
  <si>
    <t>2017/10/05</t>
  </si>
  <si>
    <t xml:space="preserve">IEC CHA No. Job No. Job Date Port of Discharge Total Package Gross Weight (Kg) FOB(INR) Total Cess (INR) Drawback STR Total (DBK+STR) CIN NO. CIN DT. Reward Flag
0514085720  AADCJ6591KCH001  6527804  05 OCT 2017 12:10  AEJEA  73  28000  767266.5  0  0  0  0  N.A.  N.A.  Click here to view item wise reward details </t>
  </si>
  <si>
    <t xml:space="preserve">Current Que LEO Date EP Copy Print Status DBK Scroll No Scroll Date EGM Integration Status
HIST  07 OCT 2017 00:10  Y  N.A.  N.A.  Y </t>
  </si>
  <si>
    <t xml:space="preserve">EGM No. EGM Date Container No. Seal No. Error Message
R417321210  2017-10-12 0.0.0.0  GATU8593405  406813  N.A. </t>
  </si>
  <si>
    <t xml:space="preserve">GSTIN    -    07AXXXXXXXXA1ZT
Invoice Number Invoice Date IGST Paid(INR)
XXXXXXXXXXXXXEXP  2017-10-05  214834 </t>
  </si>
  <si>
    <t xml:space="preserve">AWB No. Gateway Port Gateway EGM No. Gateway EGM Date Gateway Site ID Error Code
N.A.  INNSA1  136252  2017-10-04 00:00:00.0  INNSA1  S </t>
  </si>
  <si>
    <t xml:space="preserve">IEC CHA No. Job No. Job Date Port of Discharge Total Package Gross Weight (Kg) FOB(INR) Total Cess (INR) Drawback STR Total (DBK+STR) CIN NO. CIN DT. Reward Flag
0514067969  AHVPD5199DCH001  6530682  05 OCT 2017 12:10  PKKHI  20  490  658658  0  762  0  762  N.A.  N.A.  Click here to view item wise reward details </t>
  </si>
  <si>
    <t xml:space="preserve">EGM No. EGM Date Container No. Seal No. Error Message
T977721510  2017-10-15 0.0.0.0  PCIU8176974  406590  N.A. </t>
  </si>
  <si>
    <t xml:space="preserve">GSTIN    -    09AXXXXXXXXA1Z1
Invoice Number Invoice Date IGST Paid(INR)
XXXXX4/B  2017-10-03  97398 </t>
  </si>
  <si>
    <t xml:space="preserve">AWB No. Gateway Port Gateway EGM No. Gateway EGM Date Gateway Site ID Error Code
N.A.  INNSA1  137096  2017-10-17 00:00:00.0  INNSA1  C </t>
  </si>
  <si>
    <t xml:space="preserve">IEC CHA No. Job No. Job Date Port of Discharge Total Package Gross Weight (Kg) FOB(INR) Total Cess (INR) Drawback STR Total (DBK+STR) CIN NO. CIN DT. Reward Flag
0516502123  AAUPY4535CCH001  6535528  05 OCT 2017 12:10  TNRDS  2  4000  955500  0  19110  0  19110  N.A.  N.A.  Click here to view item wise reward details </t>
  </si>
  <si>
    <t xml:space="preserve">EGM No. EGM Date Container No. Seal No. Error Message
R977361210  2017-10-12 0.0.0.0  APZU2129906  406657  N.A. </t>
  </si>
  <si>
    <t xml:space="preserve">GSTIN    -    07AXXXXXXXXL1ZM
Invoice Number Invoice Date IGST Paid(INR)
XXXXXX/17  2017-10-04  171989 </t>
  </si>
  <si>
    <t xml:space="preserve">AWB No. Gateway Port Gateway EGM No. Gateway EGM Date Gateway Site ID Error Code
N.A.  INMUN1  140361  2017-12-08 00:00:00.0  INMUN1  S </t>
  </si>
  <si>
    <t xml:space="preserve">IEC CHA No. Job No. Job Date Port of Discharge Total Package Gross Weight (Kg) FOB(INR) Total Cess (INR) Drawback STR Total (DBK+STR) CIN NO. CIN DT. Reward Flag
0588128180  ARPPK3328RCH001  6538656  05 OCT 2017 12:10  KMLOG  535  16365  3231761.5  0  31879  0  31879  N.A.  N.A.  Click here to view item wise reward details </t>
  </si>
  <si>
    <t xml:space="preserve">EGM No. EGM Date Container No. Seal No. Error Message
R587241110  2017-10-11 0.0.0.0  GLDU5661534  406447  N.A. </t>
  </si>
  <si>
    <t xml:space="preserve">GSTIN    -    07AXXXXXXXXJ1Z1
Invoice Number Invoice Date IGST Paid(INR)
XXXXXXXX/17  2017-10-03  9714 </t>
  </si>
  <si>
    <t xml:space="preserve">AWB No. Gateway Port Gateway EGM No. Gateway EGM Date Gateway Site ID Error Code
N.A.  INMUN1  136910  2017-10-13 00:00:00.0  INMUN1  S </t>
  </si>
  <si>
    <t xml:space="preserve">IEC CHA No. Job No. Job Date Port of Discharge Total Package Gross Weight (Kg) FOB(INR) Total Cess (INR) Drawback STR Total (DBK+STR) CIN NO. CIN DT. Reward Flag
0501061428  AHVPD5199DCH001  6541004  05 OCT 2017 12:10  MVMLE  1  104  308180.6  0  3082  0  3082  N.A.  N.A.  Click here to view item wise reward details </t>
  </si>
  <si>
    <t xml:space="preserve">EGM No. EGM Date Container No. Seal No. Error Message
R867621410  2017-10-14 0.0.0.0  CAIU7480618  407224  N.A. </t>
  </si>
  <si>
    <t xml:space="preserve">GSTIN    -    06AXXXXXXXXB1ZO
Invoice Number Invoice Date IGST Paid(INR)
074  2017-10-05  57708 </t>
  </si>
  <si>
    <t>2017/10/06</t>
  </si>
  <si>
    <t xml:space="preserve">IEC CHA No. Job No. Job Date Port of Discharge Total Package Gross Weight (Kg) FOB(INR) Total Cess (INR) Drawback STR Total (DBK+STR) CIN NO. CIN DT. Reward Flag
0507023722  AANPA2304GCH001  6566885  06 OCT 2017 12:10  LKCMB  40  1010  273918  0  0  0  0  N.A.  N.A.  Click here to view item wise reward details </t>
  </si>
  <si>
    <t xml:space="preserve">GSTIN    -    07AXXXXXXXXB1ZM
Invoice Number Invoice Date IGST Paid(INR)
XXXXXXXXXX/07  2017-10-06  49303 </t>
  </si>
  <si>
    <t xml:space="preserve">IEC CHA No. Job No. Job Date Port of Discharge Total Package Gross Weight (Kg) FOB(INR) Total Cess (INR) Drawback STR Total (DBK+STR) CIN NO. CIN DT. Reward Flag
0500003491  BEEPS0785MCH001  6576288  06 OCT 2017 12:10  GBLON  34  686  327930  0  0  0  0  N.A.  N.A.  Click here to view item wise reward details </t>
  </si>
  <si>
    <t xml:space="preserve">Current Que LEO Date EP Copy Print Status DBK Scroll No Scroll Date EGM Integration Status
HIST  12 OCT 2017 00:10  Y  N.A.  N.A.  Y </t>
  </si>
  <si>
    <t xml:space="preserve">EGM No. EGM Date Container No. Seal No. Error Message
R157782210  2017-10-22 0.0.0.0  MRKU5061888  407765  N.A. </t>
  </si>
  <si>
    <t xml:space="preserve">GSTIN    -    09AXXXXXXXXH1ZU
Invoice Number Invoice Date IGST Paid(INR)
XXXXXXXXXXXXX-18  2017-10-06  39351 </t>
  </si>
  <si>
    <t xml:space="preserve">AWB No. Gateway Port Gateway EGM No. Gateway EGM Date Gateway Site ID Error Code
N.A.  INMUN1  138865  2017-11-15 00:00:00.0  INMUN1  S </t>
  </si>
  <si>
    <t>2017/10/07</t>
  </si>
  <si>
    <t xml:space="preserve">IEC CHA No. Job No. Job Date Port of Discharge Total Package Gross Weight (Kg) FOB(INR) Total Cess (INR) Drawback STR Total (DBK+STR) CIN NO. CIN DT. Reward Flag
0314004173  AEKPR9484FCH001  6582548  07 OCT 2017 12:10  LKCMB  2  2131  192900  0  2122  0  2122  N.A.  N.A.  Click here to view item wise reward details </t>
  </si>
  <si>
    <t xml:space="preserve">EGM No. EGM Date Container No. Seal No. Error Message
R957461310  2017-10-13 0.0.0.0  AMFU8533571  407208  N.A. </t>
  </si>
  <si>
    <t xml:space="preserve">GSTIN    -    27AXXXXXXXXG1ZA
Invoice Number Invoice Date IGST Paid(INR)
XXXXXXXXXXXXX8/A  2017-10-06  40207 </t>
  </si>
  <si>
    <t xml:space="preserve">AWB No. Gateway Port Gateway EGM No. Gateway EGM Date Gateway Site ID Error Code
N.A.  INNSA1  137147  2017-10-18 00:00:00.0  INNSA1  S </t>
  </si>
  <si>
    <t xml:space="preserve">IEC CHA No. Job No. Job Date Port of Discharge Total Package Gross Weight (Kg) FOB(INR) Total Cess (INR) Drawback STR Total (DBK+STR) CIN NO. CIN DT. Reward Flag
0509025765  AACCA2655GCH002  6583650  07 OCT 2017 12:10  MUPLU  4  522.99  214888  0  0  0  0  N.A.  N.A.  Click here to view item wise reward details </t>
  </si>
  <si>
    <t xml:space="preserve">EGM No. EGM Date Container No. Seal No. Error Message
R887682110  2017-10-21 0.0.0.0  GLDU0850350  407702  N.A. </t>
  </si>
  <si>
    <t xml:space="preserve">GSTIN    -    07AXXXXXXXXP1Z3
Invoice Number Invoice Date IGST Paid(INR)
XXXXXXX012  2017-10-06  60167 </t>
  </si>
  <si>
    <t xml:space="preserve">AWB No. Gateway Port Gateway EGM No. Gateway EGM Date Gateway Site ID Error Code
N.A.  INNSA1  136648  2017-10-10 00:00:00.0  INNSA1  C </t>
  </si>
  <si>
    <t xml:space="preserve">IEC CHA No. Job No. Job Date Port of Discharge Total Package Gross Weight (Kg) FOB(INR) Total Cess (INR) Drawback STR Total (DBK+STR) CIN NO. CIN DT. Reward Flag
0505007592  AEOPA9390KCH001  6597444  07 OCT 2017 12:10  AEDXB  7  3680  2039403.1  0  40788  0  40788  N.A.  N.A.  Click here to view item wise reward details </t>
  </si>
  <si>
    <t xml:space="preserve">EGM No. EGM Date Container No. Seal No. Error Message
R867621410  2017-10-14 0.0.0.0  TCNU8961632  406571  N.A. </t>
  </si>
  <si>
    <t xml:space="preserve">GSTIN    -    06AXXXXXXXXK1ZF
Invoice Number Invoice Date IGST Paid(INR)
XXXXXXXXXX-18  2017-10-06  367088 </t>
  </si>
  <si>
    <t xml:space="preserve">AWB No. Gateway Port Gateway EGM No. Gateway EGM Date Gateway Site ID Error Code
N.A.  INNSA1  136123  2017-10-02 00:00:00.0  INNSA1  S </t>
  </si>
  <si>
    <t>2017/10/09</t>
  </si>
  <si>
    <t xml:space="preserve">IEC CHA No. Job No. Job Date Port of Discharge Total Package Gross Weight (Kg) FOB(INR) Total Cess (INR) Drawback STR Total (DBK+STR) CIN NO. CIN DT. Reward Flag
0511034661  AABCC8115GCH002  6608520  09 OCT 2017 12:10  AEJEA  41  495  838767.78  0  0  0  0  N.A.  N.A.  Click here to view item wise reward details </t>
  </si>
  <si>
    <t xml:space="preserve">Current Que LEO Date EP Copy Print Status DBK Scroll No Scroll Date EGM Integration Status
HIST  10 OCT 2017 00:10  Y  N.A.  N.A.  Y </t>
  </si>
  <si>
    <t xml:space="preserve">EGM No. EGM Date Container No. Seal No. Error Message
R867621410  2017-10-14 0.0.0.0  BAXU5056052  407207  N.A. </t>
  </si>
  <si>
    <t xml:space="preserve">GSTIN    -    07AXXXXXXXXL1ZH
Invoice Number Invoice Date IGST Paid(INR)
007  2017-10-07  25138 </t>
  </si>
  <si>
    <t xml:space="preserve">AWB No. Gateway Port Gateway EGM No. Gateway EGM Date Gateway Site ID Error Code
N.A.  INNSA1  136151  2017-10-03 00:00:00.0  INNSA1  S </t>
  </si>
  <si>
    <t>2017/10/10</t>
  </si>
  <si>
    <t xml:space="preserve">IEC CHA No. Job No. Job Date Port of Discharge Total Package Gross Weight (Kg) FOB(INR) Total Cess (INR) Drawback STR Total (DBK+STR) CIN NO. CIN DT. Reward Flag
0510012680  AAACE2762JCH001  6654204  10 OCT 2017 12:10  GYGEO  5  88.6  39224.93  0  0  0  0  N.A.  N.A.  Click here to view item wise reward details </t>
  </si>
  <si>
    <t xml:space="preserve">Current Que LEO Date EP Copy Print Status DBK Scroll No Scroll Date EGM Integration Status
HIST  16 OCT 2017 00:10  Y  N.A.  N.A.  Y </t>
  </si>
  <si>
    <t xml:space="preserve">EGM No. EGM Date Container No. Seal No. Error Message
T907562710  2017-10-27 0.0.0.0  TCNU6623955  408335  N.A. </t>
  </si>
  <si>
    <t xml:space="preserve">GSTIN    -    07AXXXXXXXXK1ZE
Invoice Number Invoice Date IGST Paid(INR)
XXXXX8-A  2017-10-10  5771 </t>
  </si>
  <si>
    <t xml:space="preserve">AWB No. Gateway Port Gateway EGM No. Gateway EGM Date Gateway Site ID Error Code
N.A.  INNSA1  136204  2017-10-03 00:00:00.0  INNSA1  S </t>
  </si>
  <si>
    <t>2017/10/11</t>
  </si>
  <si>
    <t xml:space="preserve">IEC CHA No. Job No. Job Date Port of Discharge Total Package Gross Weight (Kg) FOB(INR) Total Cess (INR) Drawback STR Total (DBK+STR) CIN NO. CIN DT. Reward Flag
0512084262  AOWPS6493KCH001  6663590  11 OCT 2017 12:10  THBKK  1  405.74  120806.84  0  2416  0  2416  N.A.  N.A.  Click here to view item wise reward details </t>
  </si>
  <si>
    <t xml:space="preserve">Current Que LEO Date EP Copy Print Status DBK Scroll No Scroll Date EGM Integration Status
HIST  12 OCT 2017 00:10  Y  22374/2017  31 OCT 2017 00:10  Y </t>
  </si>
  <si>
    <t xml:space="preserve">EGM No. EGM Date Container No. Seal No. Error Message
R687802210  2017-10-22 0.0.0.0  VSTU9000208  407755  N.A. </t>
  </si>
  <si>
    <t xml:space="preserve">GSTIN    -    06AXXXXXXXXM1ZQ
Invoice Number Invoice Date IGST Paid(INR)
XXXXXX-18  2017-10-04  21744 </t>
  </si>
  <si>
    <t xml:space="preserve">AWB No. Gateway Port Gateway EGM No. Gateway EGM Date Gateway Site ID Error Code
N.A.  INNSA1  136637  2017-10-10 00:00:00.0  INNSA1  C </t>
  </si>
  <si>
    <t xml:space="preserve">IEC CHA No. Job No. Job Date Port of Discharge Total Package Gross Weight (Kg) FOB(INR) Total Cess (INR) Drawback STR Total (DBK+STR) CIN NO. CIN DT. Reward Flag
0591032163  AAGCS0053ECH003  6677704  11 OCT 2017 12:10  AEJEA  273  4703  670330.07  0  10055  0  10055  N.A.  N.A.  Click here to view item wise reward details </t>
  </si>
  <si>
    <t xml:space="preserve">Current Que LEO Date EP Copy Print Status DBK Scroll No Scroll Date EGM Integration Status
HIST  13 OCT 2017 00:10  Y  22374/2017  31 OCT 2017 00:10  Y </t>
  </si>
  <si>
    <t xml:space="preserve">EGM No. EGM Date Container No. Seal No. Error Message
R867621410  2017-10-14 0.0.0.0  RFSU2005740  407192  N.A. </t>
  </si>
  <si>
    <t xml:space="preserve">GSTIN    -    09AXXXXXXXXH1ZE
Invoice Number Invoice Date IGST Paid(INR)
XXXXXXXXXX113  2017-10-10  54671 </t>
  </si>
  <si>
    <t xml:space="preserve">IEC CHA No. Job No. Job Date Port of Discharge Total Package Gross Weight (Kg) FOB(INR) Total Cess (INR) Drawback STR Total (DBK+STR) CIN NO. CIN DT. Reward Flag
0592023052  AASPK9028QCH001  6678324  11 OCT 2017 12:10  THLCH  12  6528  699856.63  0  13997  0  13997  N.A.  N.A.  Click here to view item wise reward details </t>
  </si>
  <si>
    <t xml:space="preserve">Current Que LEO Date EP Copy Print Status DBK Scroll No Scroll Date EGM Integration Status
HIST  13 OCT 2017 00:10  Y  22528/2017  10 NOV 2017 00:11  Y </t>
  </si>
  <si>
    <t xml:space="preserve">EGM No. EGM Date Container No. Seal No. Error Message
R917360111  2017-11-1 0.0.0.0  CAXU9973575  408924  N.A. </t>
  </si>
  <si>
    <t xml:space="preserve">GSTIN    -    06AXXXXXXXXE1ZX
Invoice Number Invoice Date IGST Paid(INR)
XXXXXXXXX032  2017-10-11  195960 </t>
  </si>
  <si>
    <t xml:space="preserve">AWB No. Gateway Port Gateway EGM No. Gateway EGM Date Gateway Site ID Error Code
N.A.  INNSA1  138138  2017-11-03 00:00:00.0  INNSA1  C </t>
  </si>
  <si>
    <t>2017/10/12</t>
  </si>
  <si>
    <t xml:space="preserve">IEC CHA No. Job No. Job Date Port of Discharge Total Package Gross Weight (Kg) FOB(INR) Total Cess (INR) Drawback STR Total (DBK+STR) CIN NO. CIN DT. Reward Flag
0511026242  AABCC8115GCH002  6687552  12 OCT 2017 12:10  LKCMB  10  262  321500  0  3215  0  3215  N.A.  N.A.  Click here to view item wise reward details </t>
  </si>
  <si>
    <t xml:space="preserve">Current Que LEO Date EP Copy Print Status DBK Scroll No Scroll Date EGM Integration Status
HIST  16 OCT 2017 00:10  Y  22374/2017  31 OCT 2017 00:10  Y </t>
  </si>
  <si>
    <t xml:space="preserve">EGM No. EGM Date Container No. Seal No. Error Message
J207942310  2017-10-23 0.0.0.0  DFSU6802732  407794  N.A. </t>
  </si>
  <si>
    <t xml:space="preserve">GSTIN    -    06AXXXXXXXXN1Z9
Invoice Number Invoice Date IGST Paid(INR)
XXXXXXXX-18  2017-10-11  57636 </t>
  </si>
  <si>
    <t xml:space="preserve">IEC CHA No. Job No. Job Date Port of Discharge Total Package Gross Weight (Kg) FOB(INR) Total Cess (INR) Drawback STR Total (DBK+STR) CIN NO. CIN DT. Reward Flag
0505000873  AOWPS6493KCH001  6699454  12 OCT 2017 12:10  MYPKG  5  3692  903209.24  0  18064  0  18064  N.A.  N.A.  Click here to view item wise reward details </t>
  </si>
  <si>
    <t xml:space="preserve">Current Que LEO Date EP Copy Print Status DBK Scroll No Scroll Date EGM Integration Status
HIST  17 OCT 2017 00:10  Y  22374/2017  31 OCT 2017 00:10  Y </t>
  </si>
  <si>
    <t xml:space="preserve">EGM No. EGM Date Container No. Seal No. Error Message
R157782210  2017-10-22 0.0.0.0  NYKU4430478  407751  N.A. </t>
  </si>
  <si>
    <t xml:space="preserve">GSTIN    -    07AXXXXXXXXB1ZS
Invoice Number Invoice Date IGST Paid(INR)
XXXXXXX017  2017-10-09  87378 </t>
  </si>
  <si>
    <t xml:space="preserve">AWB No. Gateway Port Gateway EGM No. Gateway EGM Date Gateway Site ID Error Code
N.A.  INPAV1  137330  2017-10-23 00:00:00.0  INPAV1  S </t>
  </si>
  <si>
    <t>2017/10/16</t>
  </si>
  <si>
    <t xml:space="preserve">IEC CHA No. Job No. Job Date Port of Discharge Total Package Gross Weight (Kg) FOB(INR) Total Cess (INR) Drawback STR Total (DBK+STR) CIN NO. CIN DT. Reward Flag
2189000734  AQBPK4529MCH001  6770438  16 OCT 2017 12:10  CNSHA  8  323  268774  0  0  0  0  N.A.  N.A.  Click here to view item wise reward details </t>
  </si>
  <si>
    <t xml:space="preserve">Current Que LEO Date EP Copy Print Status DBK Scroll No Scroll Date EGM Integration Status
HIST  17 OCT 2017 00:10  Y  N.A.  N.A.  Y </t>
  </si>
  <si>
    <t xml:space="preserve">EGM No. EGM Date Container No. Seal No. Error Message
R687802210  2017-10-22 0.0.0.0  HDMU2678133  40779  N.A. </t>
  </si>
  <si>
    <t xml:space="preserve">GSTIN    -    20AXXXXXXXXE1ZX
Invoice Number Invoice Date IGST Paid(INR)
XXXXXXXXXXXXXX17-  2017-10-04  13503 </t>
  </si>
  <si>
    <t xml:space="preserve">IEC CHA No. Job No. Job Date Port of Discharge Total Package Gross Weight (Kg) FOB(INR) Total Cess (INR) Drawback STR Total (DBK+STR) CIN NO. CIN DT. Reward Flag
3104003254  AAACA3307KCH003  6781876  16 OCT 2017 12:10  USSTL  2  200  251306.1  0  5026  0  5026  N.A.  N.A.  Click here to view item wise reward details </t>
  </si>
  <si>
    <t xml:space="preserve">Current Que LEO Date EP Copy Print Status DBK Scroll No Scroll Date EGM Integration Status
HIST  30 OCT 2017 00:10  Y  22528/2017  10 NOV 2017 00:11  Y </t>
  </si>
  <si>
    <t xml:space="preserve">EGM No. EGM Date Container No. Seal No. Error Message
T937660411  2017-11-4 0.0.0.0  SEGU4994420  408956  N.A. </t>
  </si>
  <si>
    <t xml:space="preserve">GSTIN    -    27AXXXXXXXXR1ZF
Invoice Number Invoice Date IGST Paid(INR)
XXXXXXXXXXXX-18  2017-10-06  63000 </t>
  </si>
  <si>
    <t xml:space="preserve">AWB No. Gateway Port Gateway EGM No. Gateway EGM Date Gateway Site ID Error Code
N.A.  INMUN1  137020  2017-10-16 00:00:00.0  INMUN1  S </t>
  </si>
  <si>
    <t xml:space="preserve">IEC CHA No. Job No. Job Date Port of Discharge Total Package Gross Weight (Kg) FOB(INR) Total Cess (INR) Drawback STR Total (DBK+STR) CIN NO. CIN DT. Reward Flag
0503014761  AAGFT5049NCH001  6789639  16 OCT 2017 12:10  LKCMB  74  1644.82  297663.54  0  0  0  0  N.A.  N.A.  Click here to view item wise reward details </t>
  </si>
  <si>
    <t xml:space="preserve">Current Que LEO Date EP Copy Print Status DBK Scroll No Scroll Date EGM Integration Status
HIST  18 OCT 2017 00:10  Y  N.A.  N.A.  Y </t>
  </si>
  <si>
    <t xml:space="preserve">EGM No. EGM Date Container No. Seal No. Error Message
T427042410  2017-10-24 0.0.0.0  TTNU9450840  407792  N.A. </t>
  </si>
  <si>
    <t xml:space="preserve">GSTIN    -    06AXXXXXXXXD1ZC
Invoice Number Invoice Date IGST Paid(INR)
XXXXXXXXXX016  2017-10-16  36630 </t>
  </si>
  <si>
    <t>2017/10/17</t>
  </si>
  <si>
    <t xml:space="preserve">IEC CHA No. Job No. Job Date Port of Discharge Total Package Gross Weight (Kg) FOB(INR) Total Cess (INR) Drawback STR Total (DBK+STR) CIN NO. CIN DT. Reward Flag
0302060855  AMJPS3049QCH001  6804691  17 OCT 2017 12:10  FRLEH  28  234.22  158602.8  0  0  0  0  N.A.  N.A.  Click here to view item wise reward details </t>
  </si>
  <si>
    <t xml:space="preserve">EGM No. EGM Date Container No. Seal No. Error Message
T887462710  2017-10-27 0.0.0.0  SUDU1349505  408331  N.A. </t>
  </si>
  <si>
    <t xml:space="preserve">GSTIN    -    07AXXXXXXXXE1ZT
Invoice Number Invoice Date IGST Paid(INR)
XXXXXXXXXX367  2017-10-17  833 
XXXXXXXXXX369  2017-10-17  7096 </t>
  </si>
  <si>
    <t xml:space="preserve">AWB No. Gateway Port Gateway EGM No. Gateway EGM Date Gateway Site ID Error Code
N.A.  INMUN1  137857  2017-10-30 00:00:00.0  INMUN1  S </t>
  </si>
  <si>
    <t xml:space="preserve">IEC CHA No. Job No. Job Date Port of Discharge Total Package Gross Weight (Kg) FOB(INR) Total Cess (INR) Drawback STR Total (DBK+STR) CIN NO. CIN DT. Reward Flag
0594000319  AABCH1588ECH001  6806102  17 OCT 2017 12:10  USNYC  54  867.75  1233338.3  0  0  0  0  N.A.  N.A.  Click here to view item wise reward details </t>
  </si>
  <si>
    <t xml:space="preserve">Current Que LEO Date EP Copy Print Status DBK Scroll No Scroll Date EGM Integration Status
HIST  24 OCT 2017 00:10  Y  N.A.  N.A.  Y </t>
  </si>
  <si>
    <t xml:space="preserve">EGM No. EGM Date Container No. Seal No. Error Message
R437682810  2017-10-28 0.0.0.0  FCIU9221260  408359  N.A. </t>
  </si>
  <si>
    <t xml:space="preserve">GSTIN    -    07AXXXXXXXXK1ZR
Invoice Number Invoice Date IGST Paid(INR)
X212  2017-10-09  36249 </t>
  </si>
  <si>
    <t xml:space="preserve">AWB No. Gateway Port Gateway EGM No. Gateway EGM Date Gateway Site ID Error Code
N.A.  INNSA1  136639  2017-10-10 00:00:00.0  INNSA1  S </t>
  </si>
  <si>
    <t xml:space="preserve">IEC CHA No. Job No. Job Date Port of Discharge Total Package Gross Weight (Kg) FOB(INR) Total Cess (INR) Drawback STR Total (DBK+STR) CIN NO. CIN DT. Reward Flag
0500054339  AANPG2940CCH001  6813655  17 OCT 2017 12:10  AEJEA  18  800  346705.6  0  0  0  0  N.A.  N.A.  Click here to view item wise reward details </t>
  </si>
  <si>
    <t xml:space="preserve">EGM No. EGM Date Container No. Seal No. Error Message
R617602810  2017-10-28 0.0.0.0  TTNU9813289  408340  N.A. </t>
  </si>
  <si>
    <t xml:space="preserve">GSTIN    -    07AXXXXXXXXM1ZO
Invoice Number Invoice Date IGST Paid(INR)
XXXXXXXX-18  2017-10-14  89394 </t>
  </si>
  <si>
    <t xml:space="preserve">AWB No. Gateway Port Gateway EGM No. Gateway EGM Date Gateway Site ID Error Code
N.A.  INMUN1  137573  2017-10-25 00:00:00.0  INMUN1  S </t>
  </si>
  <si>
    <t xml:space="preserve">IEC CHA No. Job No. Job Date Port of Discharge Total Package Gross Weight (Kg) FOB(INR) Total Cess (INR) Drawback STR Total (DBK+STR) CIN NO. CIN DT. Reward Flag
0501009990  ADGPM5173KCH001  6822335  17 OCT 2017 12:10  LKCMB  2  620.06  194300.45  0  0  0  0  N.A.  N.A.  Click here to view item wise reward details </t>
  </si>
  <si>
    <t xml:space="preserve">Current Que LEO Date EP Copy Print Status DBK Scroll No Scroll Date EGM Integration Status
HIST  20 OCT 2017 00:10  Y  N.A.  N.A.  Y </t>
  </si>
  <si>
    <t xml:space="preserve">GSTIN    -    09AXXXXXXXXF1ZG
Invoice Number Invoice Date IGST Paid(INR)
XXXXXXXXXXX-12  2017-10-04  34975 </t>
  </si>
  <si>
    <t>2017/10/23</t>
  </si>
  <si>
    <t xml:space="preserve">IEC CHA No. Job No. Job Date Port of Discharge Total Package Gross Weight (Kg) FOB(INR) Total Cess (INR) Drawback STR Total (DBK+STR) CIN NO. CIN DT. Reward Flag
0500075158  ADXPJ1610RCH001  6891009  23 OCT 2017 12:10  USBOS  16  203  299259.75  0  4589  0  4589  N.A.  N.A.  Click here to view item wise reward details </t>
  </si>
  <si>
    <t xml:space="preserve">Current Que LEO Date EP Copy Print Status DBK Scroll No Scroll Date EGM Integration Status
HIST  23 OCT 2017 00:10  Y  24432/2018  25 MAR 2018 00:03  Y </t>
  </si>
  <si>
    <t xml:space="preserve">EGM No. EGM Date Container No. Seal No. Error Message
T567242510  2017-10-25 0.0.0.0  DRYU9359519  408313  N.A. </t>
  </si>
  <si>
    <t xml:space="preserve">ROSL Availed Amount(INR) Scroll Number Scroll Date
Y  4788  25934/2018  2018-3-20 0.0.0.0 </t>
  </si>
  <si>
    <t xml:space="preserve">GSTIN    -    07AXXXXXXXXP3ZI
Invoice Number Invoice Date IGST Paid(INR)
XXXXXXXXXXXXXX-18  2017-10-15  14927 </t>
  </si>
  <si>
    <t>2017/10/25</t>
  </si>
  <si>
    <t xml:space="preserve">IEC CHA No. Job No. Job Date Port of Discharge Total Package Gross Weight (Kg) FOB(INR) Total Cess (INR) Drawback STR Total (DBK+STR) CIN NO. CIN DT. Reward Flag
0512076341  AAJCA1821BCH001  6942905  25 OCT 2017 12:10  CUMZO  2  6000  4858347.55  0  97167  0  97167  N.A.  N.A.  Click here to view item wise reward details </t>
  </si>
  <si>
    <t xml:space="preserve">Current Que LEO Date EP Copy Print Status DBK Scroll No Scroll Date EGM Integration Status
HIST  26 OCT 2017 00:10  Y  22528/2017  10 NOV 2017 00:11  Y </t>
  </si>
  <si>
    <t xml:space="preserve">EGM No. EGM Date Container No. Seal No. Error Message
R867722910  2017-10-29 0.0.0.0  TGHU0568934  408516  N.A. </t>
  </si>
  <si>
    <t xml:space="preserve">GSTIN    -    06AXXXXXXXXE1ZX
Invoice Number Invoice Date IGST Paid(INR)
XXXXXXXXXXXXXX/10  2017-10-23  878404 </t>
  </si>
  <si>
    <t xml:space="preserve">AWB No. Gateway Port Gateway EGM No. Gateway EGM Date Gateway Site ID Error Code
N.A.  INMUN1  137953  2017-11-01 00:00:00.0  INMUN1  S </t>
  </si>
  <si>
    <t>2017/10/26</t>
  </si>
  <si>
    <t xml:space="preserve">IEC CHA No. Job No. Job Date Port of Discharge Total Package Gross Weight (Kg) FOB(INR) Total Cess (INR) Drawback STR Total (DBK+STR) CIN NO. CIN DT. Reward Flag
0510085423  AABCI7233BCH010  6961872  26 OCT 2017 12:10  LKCMB  6  38.4  32716.5  0  658  0  658  N.A.  N.A.  Click here to view item wise reward details </t>
  </si>
  <si>
    <t xml:space="preserve">Current Que LEO Date EP Copy Print Status DBK Scroll No Scroll Date EGM Integration Status
HIST  28 OCT 2017 00:10  Y  22528/2017  10 NOV 2017 00:11  Y </t>
  </si>
  <si>
    <t xml:space="preserve">EGM No. EGM Date Container No. Seal No. Error Message
R597123010  2017-10-30 0.0.0.0  ZCSU2655603  408394  N.A. </t>
  </si>
  <si>
    <t xml:space="preserve">GSTIN    -    07AXXXXXXXXK1ZW
Invoice Number Invoice Date IGST Paid(INR)
XXXXXXXXXXXXX146  2017-10-25  3925 </t>
  </si>
  <si>
    <t xml:space="preserve">AWB No. Gateway Port Gateway EGM No. Gateway EGM Date Gateway Site ID Error Code
N.A.  INNSA1  137147  2017-10-18 00:00:00.0  INNSA1  C </t>
  </si>
  <si>
    <t xml:space="preserve">IEC CHA No. Job No. Job Date Port of Discharge Total Package Gross Weight (Kg) FOB(INR) Total Cess (INR) Drawback STR Total (DBK+STR) CIN NO. CIN DT. Reward Flag
0504064754  FHMPS1058ECH001  6980662  26 OCT 2017 12:10  LKCMB  2  198  85736.48  0  1715  0  1715  N.A.  N.A.  Click here to view item wise reward details </t>
  </si>
  <si>
    <t xml:space="preserve">Current Que LEO Date EP Copy Print Status DBK Scroll No Scroll Date EGM Integration Status
HIST  27 OCT 2017 00:10  Y  22753/2017  24 NOV 2017 00:11  Y </t>
  </si>
  <si>
    <t xml:space="preserve">EGM No. EGM Date Container No. Seal No. Error Message
R117101311  2017-11-13 0.0.0.0  GLDU7092036  410152  N.A. </t>
  </si>
  <si>
    <t xml:space="preserve">GSTIN    -    09AXXXXXXXXP2ZF
Invoice Number Invoice Date IGST Paid(INR)
XXXXXXXXX/22  2017-10-17  4296 </t>
  </si>
  <si>
    <t xml:space="preserve">AWB No. Gateway Port Gateway EGM No. Gateway EGM Date Gateway Site ID Error Code
N.A.  INNSA1  138449  2017-11-09 00:00:00.0  INNSA1  S </t>
  </si>
  <si>
    <t>2017/10/27</t>
  </si>
  <si>
    <t xml:space="preserve">IEC CHA No. Job No. Job Date Port of Discharge Total Package Gross Weight (Kg) FOB(INR) Total Cess (INR) Drawback STR Total (DBK+STR) CIN NO. CIN DT. Reward Flag
0507051360  ACOPV0617QCH001  6993498  27 OCT 2017 12:10  JPNGY  4  2620  3403998.88  0  0  0  0  N.A.  N.A.  Click here to view item wise reward details </t>
  </si>
  <si>
    <t xml:space="preserve">Current Que LEO Date EP Copy Print Status DBK Scroll No Scroll Date EGM Integration Status
HIST  01 NOV 2017 00:11  Y  N.A.  N.A.  Y </t>
  </si>
  <si>
    <t xml:space="preserve">EGM No. EGM Date Container No. Seal No. Error Message
R1237600311  2017-11-3 0.0.0.0  TCLU8954847  409204  N.A. </t>
  </si>
  <si>
    <t xml:space="preserve">GSTIN    -    09AXXXXXXXXR1ZJ
Invoice Number Invoice Date IGST Paid(INR)
XXXXXXXXXXXXX001  2017-10-25  956079 </t>
  </si>
  <si>
    <t xml:space="preserve">AWB No. Gateway Port Gateway EGM No. Gateway EGM Date Gateway Site ID Error Code
N.A.  INPAV1  138356  2017-11-07 00:00:00.0  INPAV1  S </t>
  </si>
  <si>
    <t xml:space="preserve">IEC CHA No. Job No. Job Date Port of Discharge Total Package Gross Weight (Kg) FOB(INR) Total Cess (INR) Drawback STR Total (DBK+STR) CIN NO. CIN DT. Reward Flag
0500048967  AFXPK5610ECH001  7003225  27 OCT 2017 12:10  NZLYT  26  623.04  243048  0  0  0  0  N.A.  N.A.  Click here to view item wise reward details </t>
  </si>
  <si>
    <t xml:space="preserve">Current Que LEO Date EP Copy Print Status DBK Scroll No Scroll Date EGM Integration Status
HIST  30 OCT 2017 00:10  Y  N.A.  N.A.  Y </t>
  </si>
  <si>
    <t xml:space="preserve">EGM No. EGM Date Container No. Seal No. Error Message
J237680411  2017-11-4 0.0.0.0  TCLU3101163  408966  N.A. </t>
  </si>
  <si>
    <t xml:space="preserve">GSTIN    -    07AXXXXXXXXQ1ZX
Invoice Number Invoice Date IGST Paid(INR)
XXXXXXXXXXX-18  2017-09-25  29163 </t>
  </si>
  <si>
    <t xml:space="preserve">AWB No. Gateway Port Gateway EGM No. Gateway EGM Date Gateway Site ID Error Code
N.A.  INNSA1  137367  2017-10-23 00:00:00.0  INNSA1  S </t>
  </si>
  <si>
    <t xml:space="preserve">IEC CHA No. Job No. Job Date Port of Discharge Total Package Gross Weight (Kg) FOB(INR) Total Cess (INR) Drawback STR Total (DBK+STR) CIN NO. CIN DT. Reward Flag
0592023052  FHMPS1058ECH001  7007875  27 OCT 2017 12:10  MYPKG  1  516.28  190774.4  0  3815  0  3815  N.A.  N.A.  Click here to view item wise reward details </t>
  </si>
  <si>
    <t xml:space="preserve">EGM No. EGM Date Container No. Seal No. Error Message
J237680411  2017-11-4 0.0.0.0  HNSU2035740  408975  N.A. </t>
  </si>
  <si>
    <t xml:space="preserve">GSTIN    -    06AXXXXXXXXE4ZU
Invoice Number Invoice Date IGST Paid(INR)
XXXXXXXXXXXXXX17-  2017-09-28  54045 </t>
  </si>
  <si>
    <t xml:space="preserve">AWB No. Gateway Port Gateway EGM No. Gateway EGM Date Gateway Site ID Error Code
N.A.  INNSA1  137969  2017-11-01 00:00:00.0  INNSA1  C </t>
  </si>
  <si>
    <t xml:space="preserve">IEC CHA No. Job No. Job Date Port of Discharge Total Package Gross Weight (Kg) FOB(INR) Total Cess (INR) Drawback STR Total (DBK+STR) CIN NO. CIN DT. Reward Flag
0511002459  AACCJ6018NCH001  7008660  27 OCT 2017 12:10  ZAJNB  2  619.2  275331.8  0  5507  0  5507  N.A.  N.A.  Click here to view item wise reward details </t>
  </si>
  <si>
    <t xml:space="preserve">Current Que LEO Date EP Copy Print Status DBK Scroll No Scroll Date EGM Integration Status
HIST  01 NOV 2017 00:11  Y  22753/2017  24 NOV 2017 00:11  Y </t>
  </si>
  <si>
    <t xml:space="preserve">EGM No. EGM Date Container No. Seal No. Error Message
T417481011  2017-11-10 0.0.0.0  NYKU3240133  409783  N.A. </t>
  </si>
  <si>
    <t xml:space="preserve">GSTIN    -    06AXXXXXXXXK1ZR
Invoice Number Invoice Date IGST Paid(INR)
XXXXXXXXXX718  2017-10-24  45882 </t>
  </si>
  <si>
    <t xml:space="preserve">AWB No. Gateway Port Gateway EGM No. Gateway EGM Date Gateway Site ID Error Code
N.A.  INNSA1  138138  2017-11-03 00:00:00.0  INNSA1  S </t>
  </si>
  <si>
    <t>2017/10/30</t>
  </si>
  <si>
    <t xml:space="preserve">IEC CHA No. Job No. Job Date Port of Discharge Total Package Gross Weight (Kg) FOB(INR) Total Cess (INR) Drawback STR Total (DBK+STR) CIN NO. CIN DT. Reward Flag
0508028078  AAECB3928MCH001  7039088  30 OCT 2017 12:10  DEHAM  1  465  273728  0  0  0  0  N.A.  N.A.  Click here to view item wise reward details </t>
  </si>
  <si>
    <t xml:space="preserve">Current Que LEO Date EP Copy Print Status DBK Scroll No Scroll Date EGM Integration Status
HIST  02 NOV 2017 00:11  Y  N.A.  N.A.  Y </t>
  </si>
  <si>
    <t xml:space="preserve">EGM No. EGM Date Container No. Seal No. Error Message
R857060711  2017-11-7 0.0.0.0  BMOU5903388  408984  N.A. </t>
  </si>
  <si>
    <t xml:space="preserve">GSTIN    -    06AXXXXXXXXD1Z2
Invoice Number Invoice Date IGST Paid(INR)
XXXXXXXXXX263  2017-09-28  59984 </t>
  </si>
  <si>
    <t xml:space="preserve">AWB No. Gateway Port Gateway EGM No. Gateway EGM Date Gateway Site ID Error Code
N.A.  INNSA1  137453  2017-10-24 00:00:00.0  INNSA1  C </t>
  </si>
  <si>
    <t xml:space="preserve">IEC CHA No. Job No. Job Date Port of Discharge Total Package Gross Weight (Kg) FOB(INR) Total Cess (INR) Drawback STR Total (DBK+STR) CIN NO. CIN DT. Reward Flag
0517542374  AAJPK0196LCH001  7046224  30 OCT 2017 12:10  AEJEA  11  13950  975000  0  19500  0  19500  N.A.  N.A.  Click here to view item wise reward details </t>
  </si>
  <si>
    <t xml:space="preserve">Current Que LEO Date EP Copy Print Status DBK Scroll No Scroll Date EGM Integration Status
HIST  09 NOV 2017 00:11  Y  22753/2017  24 NOV 2017 00:11  Y </t>
  </si>
  <si>
    <t xml:space="preserve">EGM No. EGM Date Container No. Seal No. Error Message
R1307141411  2017-11-14 0.0.0.0  BSIU9258478  410288  N.A. </t>
  </si>
  <si>
    <t xml:space="preserve">GSTIN    -    06AXXXXXXXXR1ZC
Invoice Number Invoice Date IGST Paid(INR)
XXX/02  2017-10-20  175500 </t>
  </si>
  <si>
    <t xml:space="preserve">AWB No. Gateway Port Gateway EGM No. Gateway EGM Date Gateway Site ID Error Code
N.A.  INMUN1  139244  2017-11-21 00:00:00.0  INMUN1  S </t>
  </si>
  <si>
    <t xml:space="preserve">IEC CHA No. Job No. Job Date Port of Discharge Total Package Gross Weight (Kg) FOB(INR) Total Cess (INR) Drawback STR Total (DBK+STR) CIN NO. CIN DT. Reward Flag
0591028549  AAECB3928MCH001  7049582  30 OCT 2017 12:10  USHOU  1  271.647  255637.75  0  0  0  0  N.A.  N.A.  Click here to view item wise reward details </t>
  </si>
  <si>
    <t xml:space="preserve">EGM No. EGM Date Container No. Seal No. Error Message
R917281511  2017-11-15 0.0.0.0  MSKU5046484  410116  N.A. </t>
  </si>
  <si>
    <t xml:space="preserve">GSTIN    -    06AXXXXXXXXJ2ZR
Invoice Number Invoice Date IGST Paid(INR)
XXXXX-18  2017-09-20  45511 </t>
  </si>
  <si>
    <t xml:space="preserve">AWB No. Gateway Port Gateway EGM No. Gateway EGM Date Gateway Site ID Error Code
N.A.  INNSA1  137348  2017-10-23 00:00:00.0  INNSA1  S </t>
  </si>
  <si>
    <t xml:space="preserve">IEC CHA No. Job No. Job Date Port of Discharge Total Package Gross Weight (Kg) FOB(INR) Total Cess (INR) Drawback STR Total (DBK+STR) CIN NO. CIN DT. Reward Flag
3104003254  AAACA3307KCH003  7054953  30 OCT 2017 12:10  ARBUE  6  888  973732.85  0  19475  0  19475  N.A.  N.A.  Click here to view item wise reward details </t>
  </si>
  <si>
    <t xml:space="preserve">Current Que LEO Date EP Copy Print Status DBK Scroll No Scroll Date EGM Integration Status
HIST  10 NOV 2017 00:11  Y  22753/2017  24 NOV 2017 00:11  Y </t>
  </si>
  <si>
    <t xml:space="preserve">EGM No. EGM Date Container No. Seal No. Error Message
T897181411  2017-11-14 0.0.0.0  GVCU5235474  410172  N.A. </t>
  </si>
  <si>
    <t xml:space="preserve">GSTIN    -    27AXXXXXXXXR1ZF
Invoice Number Invoice Date IGST Paid(INR)
XXXXXXXXXXXXXX-18  2017-10-26  168000 </t>
  </si>
  <si>
    <t xml:space="preserve">AWB No. Gateway Port Gateway EGM No. Gateway EGM Date Gateway Site ID Error Code
N.A.  INNSA1  137366  2017-10-23 00:00:00.0  INNSA1  S </t>
  </si>
  <si>
    <t>2017/10/31</t>
  </si>
  <si>
    <t xml:space="preserve">IEC CHA No. Job No. Job Date Port of Discharge Total Package Gross Weight (Kg) FOB(INR) Total Cess (INR) Drawback STR Total (DBK+STR) CIN NO. CIN DT. Reward Flag
0506059944  AGYPS4804QCH001  7072682  31 OCT 2017 12:10  QADOH  374  18737.4  189434.95  0  0  0  0  N.A.  N.A.  Click here to view item wise reward details </t>
  </si>
  <si>
    <t xml:space="preserve">EGM No. EGM Date Container No. Seal No. Error Message
J237680411  2017-11-4 0.0.0.0  BSIU2923410  409431  N.A. </t>
  </si>
  <si>
    <t xml:space="preserve">GSTIN    -    07AXXXXXXXXL1Z8
Invoice Number Invoice Date IGST Paid(INR)
XXXXXXXX001  2017-10-27  10914 </t>
  </si>
  <si>
    <t xml:space="preserve">AWB No. Gateway Port Gateway EGM No. Gateway EGM Date Gateway Site ID Error Code
N.A.  INNSA1  137830  2017-10-30 00:00:00.0  INNSA1  S </t>
  </si>
  <si>
    <t xml:space="preserve">IEC CHA No. Job No. Job Date Port of Discharge Total Package Gross Weight (Kg) FOB(INR) Total Cess (INR) Drawback STR Total (DBK+STR) CIN NO. CIN DT. Reward Flag
0597017891  AAZPM1462DCH001  7078745  31 OCT 2017 12:10  ESVLC  50  715.9  176314.99  0  2515  0  2515  N.A.  N.A.  Click here to view item wise reward details </t>
  </si>
  <si>
    <t xml:space="preserve">Current Que LEO Date EP Copy Print Status DBK Scroll No Scroll Date EGM Integration Status
HIST  13 NOV 2017 00:11  Y  22753/2017  24 NOV 2017 00:11  Y </t>
  </si>
  <si>
    <t xml:space="preserve">EGM No. EGM Date Container No. Seal No. Error Message
T257561711  2017-11-17 0.0.0.0  CCLU3768859  410722  N.A. </t>
  </si>
  <si>
    <t xml:space="preserve">GSTIN    -    07AXXXXXXXXF1Z3
Invoice Number Invoice Date IGST Paid(INR)
XXXXXXXXX066  2017-10-10  35768 </t>
  </si>
  <si>
    <t xml:space="preserve">AWB No. Gateway Port Gateway EGM No. Gateway EGM Date Gateway Site ID Error Code
N.A.  INNSA1  138455  2017-11-09 00:00:00.0  INNSA1  S </t>
  </si>
  <si>
    <t xml:space="preserve">IEC CHA No. Job No. Job Date Port of Discharge Total Package Gross Weight (Kg) FOB(INR) Total Cess (INR) Drawback STR Total (DBK+STR) CIN NO. CIN DT. Reward Flag
0597017891  AAACT0334RCH001  7088779  31 OCT 2017 12:10  USLAX  58  1299.1  309895.82  0  4926  0  4926  N.A.  N.A.  Click here to view item wise reward details </t>
  </si>
  <si>
    <t xml:space="preserve">Current Que LEO Date EP Copy Print Status DBK Scroll No Scroll Date EGM Integration Status
HIST  08 NOV 2017 00:11  Y  22753/2017  24 NOV 2017 00:11  Y </t>
  </si>
  <si>
    <t xml:space="preserve">EGM No. EGM Date Container No. Seal No. Error Message
R917281511  2017-11-15 0.0.0.0  CRXU9830141  410173  N.A. </t>
  </si>
  <si>
    <t xml:space="preserve">GSTIN    -    07AXXXXXXXXF1Z3
Invoice Number Invoice Date IGST Paid(INR)
XXXXXXXXX068  2017-10-30  39496 </t>
  </si>
  <si>
    <t xml:space="preserve">AWB No. Gateway Port Gateway EGM No. Gateway EGM Date Gateway Site ID Error Code
N.A.  INNSA1  138732  2017-11-14 00:00:00.0  INNSA1  S </t>
  </si>
  <si>
    <t>2017/11/01</t>
  </si>
  <si>
    <t xml:space="preserve">IEC CHA No. Job No. Job Date Port of Discharge Total Package Gross Weight (Kg) FOB(INR) Total Cess (INR) Drawback STR Total (DBK+STR) CIN NO. CIN DT. Reward Flag
0504038966  AAACU5306LCH002  7103357  01 NOV 2017 12:11  NLRTM  2  1487  220967.68  0  4419  0  4419  N.A.  N.A.  Click here to view item wise reward details </t>
  </si>
  <si>
    <t xml:space="preserve">Current Que LEO Date EP Copy Print Status DBK Scroll No Scroll Date EGM Integration Status
HIST  07 NOV 2017 00:11  Y  22753/2017  24 NOV 2017 00:11  Y </t>
  </si>
  <si>
    <t xml:space="preserve">EGM No. EGM Date Container No. Seal No. Error Message
R757340911  2017-11-9 0.0.0.0  CAIU2219324  409773  N.A. </t>
  </si>
  <si>
    <t xml:space="preserve">GSTIN    -    06AXXXXXXXXD1ZM
Invoice Number Invoice Date IGST Paid(INR)
XXXXXX/11  2017-10-27  61871 </t>
  </si>
  <si>
    <t xml:space="preserve">AWB No. Gateway Port Gateway EGM No. Gateway EGM Date Gateway Site ID Error Code
N.A.  INNSA1  137889  2017-10-31 00:00:00.0  INNSA1  S </t>
  </si>
  <si>
    <t>2017/11/02</t>
  </si>
  <si>
    <t xml:space="preserve">IEC CHA No. Job No. Job Date Port of Discharge Total Package Gross Weight (Kg) FOB(INR) Total Cess (INR) Drawback STR Total (DBK+STR) CIN NO. CIN DT. Reward Flag
0511002459  AACCJ6018NCH001  7132173  02 NOV 2017 12:11  AEJEA  1  360.4  95400.03  0  1908  0  1908  N.A.  N.A.  Click here to view item wise reward details </t>
  </si>
  <si>
    <t xml:space="preserve">Current Que LEO Date EP Copy Print Status DBK Scroll No Scroll Date EGM Integration Status
HIST  10 NOV 2017 00:11  Y  22850/2017  30 NOV 2017 00:11  Y </t>
  </si>
  <si>
    <t xml:space="preserve">EGM No. EGM Date Container No. Seal No. Error Message
R67142711  2017-11-27 0.0.0.0  TRHU3490683  411926  N.A. </t>
  </si>
  <si>
    <t xml:space="preserve">GSTIN    -    06AXXXXXXXXK1ZR
Invoice Number Invoice Date IGST Paid(INR)
XXXXXXXXXX718  2017-11-02  17288 </t>
  </si>
  <si>
    <t xml:space="preserve">AWB No. Gateway Port Gateway EGM No. Gateway EGM Date Gateway Site ID Error Code
N.A.  INNSA1  138837  2017-11-15 00:00:00.0  INNSA1  S </t>
  </si>
  <si>
    <t>2017/11/03</t>
  </si>
  <si>
    <t xml:space="preserve">IEC CHA No. Job No. Job Date Port of Discharge Total Package Gross Weight (Kg) FOB(INR) Total Cess (INR) Drawback STR Total (DBK+STR) CIN NO. CIN DT. Reward Flag
0288014952  AVAPS6694RCH001  7155035  03 NOV 2017 12:11  BDCGP  94  3601  1018340.05  0  19416  0  19416  N.A.  N.A.  Click here to view item wise reward details </t>
  </si>
  <si>
    <t xml:space="preserve">Current Que LEO Date EP Copy Print Status DBK Scroll No Scroll Date EGM Integration Status
HIST  06 NOV 2017 00:11  Y  23643/2018  31 JAN 2018 00:01  Y </t>
  </si>
  <si>
    <t xml:space="preserve">EGM No. EGM Date Container No. Seal No. Error Message
T957380911  2017-11-9 0.0.0.0  CAIU8861239  409849  N.A. </t>
  </si>
  <si>
    <t xml:space="preserve">GSTIN    -    19AXXXXXXXXC1ZW
Invoice Number Invoice Date IGST Paid(INR)
XXXXXXXXXXXX017  2017-10-31  194792 </t>
  </si>
  <si>
    <t xml:space="preserve">IEC CHA No. Job No. Job Date Port of Discharge Total Package Gross Weight (Kg) FOB(INR) Total Cess (INR) Drawback STR Total (DBK+STR) CIN NO. CIN DT. Reward Flag
3014016713  AAACV8475HCH022  7163347  03 NOV 2017 12:11  NZAKL  79  1076.5  712293.4  0  10684  0  10684  N.A.  N.A.  Click here to view item wise reward details </t>
  </si>
  <si>
    <t xml:space="preserve">EGM No. EGM Date Container No. Seal No. Error Message
R987721111  2017-11-11 0.0.0.0  HMMU6037769  409797  N.A. </t>
  </si>
  <si>
    <t xml:space="preserve">GSTIN    -    03AXXXXXXXXN2Z7
Invoice Number Invoice Date IGST Paid(INR)
04  2017-11-02  198470 </t>
  </si>
  <si>
    <t xml:space="preserve">IEC CHA No. Job No. Job Date Port of Discharge Total Package Gross Weight (Kg) FOB(INR) Total Cess (INR) Drawback STR Total (DBK+STR) CIN NO. CIN DT. Reward Flag
3303004897  AAKFT7074RCH001  7164309  03 NOV 2017 12:11  IRBND  5  41  128124.91  0  0  0  0  N.A.  N.A.  Click here to view item wise reward details </t>
  </si>
  <si>
    <t xml:space="preserve">Current Que LEO Date EP Copy Print Status DBK Scroll No Scroll Date EGM Integration Status
HIST  16 DEC 2017 00:12  Y  N.A.  N.A.  Y </t>
  </si>
  <si>
    <t xml:space="preserve">EGM No. EGM Date Container No. Seal No. Error Message
T437622212  2017-12-22 0.0.0.0  TCKU3159445  414297  N.A. </t>
  </si>
  <si>
    <t xml:space="preserve">GSTIN    -    06AXXXXXXXXC1ZC
Invoice Number Invoice Date IGST Paid(INR)
1  2017-10-26  25511 </t>
  </si>
  <si>
    <t xml:space="preserve">AWB No. Gateway Port Gateway EGM No. Gateway EGM Date Gateway Site ID Error Code
N.A.  INMUN1  140630  2017-12-13 00:00:00.0  INMUN1  S </t>
  </si>
  <si>
    <t xml:space="preserve">IEC CHA No. Job No. Job Date Port of Discharge Total Package Gross Weight (Kg) FOB(INR) Total Cess (INR) Drawback STR Total (DBK+STR) CIN NO. CIN DT. Reward Flag
0506074285  AAEPI0406QCH001  7167836  03 NOV 2017 12:11  USNYC  17  222.19  440248.38  0  8805  0  8805  N.A.  N.A.  Click here to view item wise reward details </t>
  </si>
  <si>
    <t xml:space="preserve">EGM No. EGM Date Container No. Seal No. Error Message
R627641011  2017-11-10 0.0.0.0  TRLU7601994  410141  N.A. </t>
  </si>
  <si>
    <t xml:space="preserve">ROSL Availed Amount(INR) Scroll Number Scroll Date
Y  7484  25863/2017  2017-11-20 0.0.0.0 </t>
  </si>
  <si>
    <t xml:space="preserve">GSTIN    -    06AXXXXXXXXD1Z0
Invoice Number Invoice Date IGST Paid(INR)
XXXXXXXXXXX-18  2017-11-02  22038 </t>
  </si>
  <si>
    <t>2017/11/06</t>
  </si>
  <si>
    <t xml:space="preserve">IEC CHA No. Job No. Job Date Port of Discharge Total Package Gross Weight (Kg) FOB(INR) Total Cess (INR) Drawback STR Total (DBK+STR) CIN NO. CIN DT. Reward Flag
0598032801  ADDPA2722RCH001  7204550  06 NOV 2017 12:11  BHBAH  273  4000  641675.58  0  9717  0  9717  N.A.  N.A.  Click here to view item wise reward details </t>
  </si>
  <si>
    <t xml:space="preserve">EGM No. EGM Date Container No. Seal No. Error Message
R667661111  2017-11-11 0.0.0.0  TRHU1567894  409974  N.A. </t>
  </si>
  <si>
    <t xml:space="preserve">GSTIN    -    07AXXXXXXXXH1Z8
Invoice Number Invoice Date IGST Paid(INR)
XXXXXXXX017  2017-11-06  92965 </t>
  </si>
  <si>
    <t xml:space="preserve">AWB No. Gateway Port Gateway EGM No. Gateway EGM Date Gateway Site ID Error Code
N.A.  INMUN1  138363  2017-11-07 00:00:00.0  INMUN1  S </t>
  </si>
  <si>
    <t xml:space="preserve">IEC CHA No. Job No. Job Date Port of Discharge Total Package Gross Weight (Kg) FOB(INR) Total Cess (INR) Drawback STR Total (DBK+STR) CIN NO. CIN DT. Reward Flag
0515933520  AAFCS0723ACH002  7207933  06 NOV 2017 12:11  TZDAR  38  1838.04  1017689.67  0  14244  0  14244  N.A.  N.A.  Click here to view item wise reward details </t>
  </si>
  <si>
    <t xml:space="preserve">GSTIN    -    06AXXXXXXXXN1ZN
Invoice Number Invoice Date IGST Paid(INR)
008  2017-10-28  251421 </t>
  </si>
  <si>
    <t xml:space="preserve">AWB No. Gateway Port Gateway EGM No. Gateway EGM Date Gateway Site ID Error Code
N.A.  INNSA1  137353  2017-10-23 00:00:00.0  INNSA1  C </t>
  </si>
  <si>
    <t xml:space="preserve">IEC CHA No. Job No. Job Date Port of Discharge Total Package Gross Weight (Kg) FOB(INR) Total Cess (INR) Drawback STR Total (DBK+STR) CIN NO. CIN DT. Reward Flag
0507062884  AYZPP5973GCH001  7214312  06 NOV 2017 12:11  BRSSZ  55  2712  1399905  0  27998  0  27998  N.A.  N.A.  Click here to view item wise reward details </t>
  </si>
  <si>
    <t xml:space="preserve">EGM No. EGM Date Container No. Seal No. Error Message
R827541011  2017-11-10 0.0.0.0  FSCU8189292  003299  N.A. </t>
  </si>
  <si>
    <t xml:space="preserve">GSTIN    -    09AXXXXXXXXJ1Z6
Invoice Number Invoice Date IGST Paid(INR)
XXXXXXXXXXX018  2017-11-06  251970 </t>
  </si>
  <si>
    <t xml:space="preserve">AWB No. Gateway Port Gateway EGM No. Gateway EGM Date Gateway Site ID Error Code
N.A.  INMUN1  137950  2017-11-01 00:00:00.0  INMUN1  S </t>
  </si>
  <si>
    <t>2017/11/07</t>
  </si>
  <si>
    <t xml:space="preserve">IEC CHA No. Job No. Job Date Port of Discharge Total Package Gross Weight (Kg) FOB(INR) Total Cess (INR) Drawback STR Total (DBK+STR) CIN NO. CIN DT. Reward Flag
0515019933  AADCA0273BCH001  7220585  07 NOV 2017 12:11  BJCOO  859  26003.19  8942925.17  0  178859  0  178859  N.A.  N.A.  Click here to view item wise reward details </t>
  </si>
  <si>
    <t xml:space="preserve">EGM No. EGM Date Container No. Seal No. Error Message
TX207081311  2017-11-13 0.0.0.0  MSKU2352794  410286  N.A. </t>
  </si>
  <si>
    <t xml:space="preserve">GSTIN    -    07AXXXXXXXXN2Z8
Invoice Number Invoice Date IGST Paid(INR)
XXXXXX-18  2017-11-04  1073135 </t>
  </si>
  <si>
    <t xml:space="preserve">AWB No. Gateway Port Gateway EGM No. Gateway EGM Date Gateway Site ID Error Code
N.A.  INMUN1  141255  2017-12-23 00:00:00.0  INMUN1  S </t>
  </si>
  <si>
    <t xml:space="preserve">IEC CHA No. Job No. Job Date Port of Discharge Total Package Gross Weight (Kg) FOB(INR) Total Cess (INR) Drawback STR Total (DBK+STR) CIN NO. CIN DT. Reward Flag
0615002285  AAIFP4144LCH001  7222734  07 NOV 2017 12:11  IRBND  1304  18977.5  3567531.24  0  53513  0  53513  N.A.  N.A.  Click here to view item wise reward details </t>
  </si>
  <si>
    <t xml:space="preserve">Current Que LEO Date EP Copy Print Status DBK Scroll No Scroll Date EGM Integration Status
HIST  14 NOV 2017 00:11  Y  24432/2018  25 MAR 2018 00:03  Y </t>
  </si>
  <si>
    <t xml:space="preserve">EGM No. EGM Date Container No. Seal No. Error Message
T707501711  2017-11-17 0.0.0.0  TTNU9712600  410620  N.A. </t>
  </si>
  <si>
    <t xml:space="preserve">GSTIN    -    09AXXXXXXXXF1ZF
Invoice Number Invoice Date IGST Paid(INR)
XXXXXXXXXXX-18  2017-10-24  483215 </t>
  </si>
  <si>
    <t xml:space="preserve">AWB No. Gateway Port Gateway EGM No. Gateway EGM Date Gateway Site ID Error Code
N.A.  INMUN1  151099  2018-05-28 00:00:00.0  INMUN1  S </t>
  </si>
  <si>
    <t xml:space="preserve">IEC CHA No. Job No. Job Date Port of Discharge Total Package Gross Weight (Kg) FOB(INR) Total Cess (INR) Drawback STR Total (DBK+STR) CIN NO. CIN DT. Reward Flag
0504008455  AHDPK8975CCH001  7225133  07 NOV 2017 12:11  KEMBA  49  940.02  343317.52  0  6866  0  6866  N.A.  N.A.  Click here to view item wise reward details </t>
  </si>
  <si>
    <t xml:space="preserve">EGM No. EGM Date Container No. Seal No. Error Message
R627641011  2017-11-10 0.0.0.0  GESU5146944  410131  N.A. </t>
  </si>
  <si>
    <t xml:space="preserve">GSTIN    -    07AXXXXXXXXD1Z2
Invoice Number Invoice Date IGST Paid(INR)
XXX004  2017-10-25  96124 </t>
  </si>
  <si>
    <t xml:space="preserve">AWB No. Gateway Port Gateway EGM No. Gateway EGM Date Gateway Site ID Error Code
N.A.  INNSA1  137370  2017-10-23 00:00:00.0  INNSA1  C </t>
  </si>
  <si>
    <t>2017/11/08</t>
  </si>
  <si>
    <t xml:space="preserve">IEC CHA No. Job No. Job Date Port of Discharge Total Package Gross Weight (Kg) FOB(INR) Total Cess (INR) Drawback STR Total (DBK+STR) CIN NO. CIN DT. Reward Flag
0597017891  AAZPM1462DCH001  7263106  08 NOV 2017 12:11  AEJEA  21  478.3  93799.52  0  1820  0  1820  N.A.  N.A.  Click here to view item wise reward details </t>
  </si>
  <si>
    <t xml:space="preserve">Current Que LEO Date EP Copy Print Status DBK Scroll No Scroll Date EGM Integration Status
HIST  13 NOV 2017 00:11  Y  24432/2018  25 MAR 2018 00:03  Y </t>
  </si>
  <si>
    <t xml:space="preserve">EGM No. EGM Date Container No. Seal No. Error Message
T257561711  2017-11-17 0.0.0.0  PALU5007291  410729  N.A. </t>
  </si>
  <si>
    <t xml:space="preserve">GSTIN    -    07AXXXXXXXXF1Z3
Invoice Number Invoice Date IGST Paid(INR)
XXXXXXXXX069  2017-10-11  11441 </t>
  </si>
  <si>
    <t xml:space="preserve">AWB No. Gateway Port Gateway EGM No. Gateway EGM Date Gateway Site ID Error Code
N.A.  INNSA1  138710  2017-11-13 00:00:00.0  INNSA1  S </t>
  </si>
  <si>
    <t>2017/11/09</t>
  </si>
  <si>
    <t xml:space="preserve">IEC CHA No. Job No. Job Date Port of Discharge Total Package Gross Weight (Kg) FOB(INR) Total Cess (INR) Drawback STR Total (DBK+STR) CIN NO. CIN DT. Reward Flag
0515019372  BEEPS0785MCH001  7273642  09 NOV 2017 12:11  ITNPL  153  2662.45  806736.74  0  12289  0  12289  N.A.  N.A.  Click here to view item wise reward details </t>
  </si>
  <si>
    <t xml:space="preserve">EGM No. EGM Date Container No. Seal No. Error Message
TX207081311  2017-11-13 0.0.0.0  MSCU6791570  410437  N.A. </t>
  </si>
  <si>
    <t xml:space="preserve">GSTIN    -    07AXXXXXXXXH1ZA
Invoice Number Invoice Date IGST Paid(INR)
XXXXXXXXXXX-18  2017-11-03  46027 </t>
  </si>
  <si>
    <t xml:space="preserve">AWB No. Gateway Port Gateway EGM No. Gateway EGM Date Gateway Site ID Error Code
N.A.  INMUN1  139000  2017-11-17 00:00:00.0  INMUN1  S </t>
  </si>
  <si>
    <t xml:space="preserve">IEC CHA No. Job No. Job Date Port of Discharge Total Package Gross Weight (Kg) FOB(INR) Total Cess (INR) Drawback STR Total (DBK+STR) CIN NO. CIN DT. Reward Flag
0500075158  ADXPJ1610RCH001  7278026  09 NOV 2017 12:11  USBOS  7  78  206292.45  0  4126  0  4126  N.A.  N.A.  Click here to view item wise reward details </t>
  </si>
  <si>
    <t xml:space="preserve">EGM No. EGM Date Container No. Seal No. Error Message
R587241511  2017-11-15 0.0.0.0  TCLU9716714  410189  N.A. </t>
  </si>
  <si>
    <t xml:space="preserve">ROSL Availed Amount(INR) Scroll Number Scroll Date
Y  3300  25863/2017  2017-11-20 0.0.0.0 </t>
  </si>
  <si>
    <t xml:space="preserve">GSTIN    -    07AXXXXXXXXP3ZI
Invoice Number Invoice Date IGST Paid(INR)
XXXXXXXXXXXXXX-18  2017-11-01  10363 </t>
  </si>
  <si>
    <t xml:space="preserve">AWB No. Gateway Port Gateway EGM No. Gateway EGM Date Gateway Site ID Error Code
N.A.  INMUN1  138685  2017-11-13 00:00:00.0  INMUN1  S </t>
  </si>
  <si>
    <t xml:space="preserve">IEC CHA No. Job No. Job Date Port of Discharge Total Package Gross Weight (Kg) FOB(INR) Total Cess (INR) Drawback STR Total (DBK+STR) CIN NO. CIN DT. Reward Flag
0512057273  AABCR5347PCH001  7289922  09 NOV 2017 12:11  USHOU  114  2910  293944.92  0  4409  0  4409  N.A.  N.A.  Click here to view item wise reward details </t>
  </si>
  <si>
    <t xml:space="preserve">EGM No. EGM Date Container No. Seal No. Error Message
R897621811  2017-11-18 0.0.0.0  MRKU3131266  410718  N.A. </t>
  </si>
  <si>
    <t xml:space="preserve">GSTIN    -    06AXXXXXXXXN1ZW
Invoice Number Invoice Date IGST Paid(INR)
XXXXXXXXXXX057  2017-11-07  30668 </t>
  </si>
  <si>
    <t xml:space="preserve">AWB No. Gateway Port Gateway EGM No. Gateway EGM Date Gateway Site ID Error Code
N.A.  INPAV1  137989  2017-11-01 00:00:00.0  INPAV1  S </t>
  </si>
  <si>
    <t>2017/11/13</t>
  </si>
  <si>
    <t xml:space="preserve">IEC CHA No. Job No. Job Date Port of Discharge Total Package Gross Weight (Kg) FOB(INR) Total Cess (INR) Drawback STR Total (DBK+STR) CIN NO. CIN DT. Reward Flag
0504011057  AFBPM9459DCH001  7342938  13 NOV 2017 12:11  TJLBD  1514  21400  6950990.5  0  104265  0  104265  N.A.  N.A.  Click here to view item wise reward details </t>
  </si>
  <si>
    <t xml:space="preserve">Current Que LEO Date EP Copy Print Status DBK Scroll No Scroll Date EGM Integration Status
HIST  15 NOV 2017 00:11  Y  22753/2017  24 NOV 2017 00:11  Y </t>
  </si>
  <si>
    <t xml:space="preserve">EGM No. EGM Date Container No. Seal No. Error Message
T707501711  2017-11-17 0.0.0.0  GRMU4200324  410683  N.A. </t>
  </si>
  <si>
    <t xml:space="preserve">GSTIN    -    07AXXXXXXXXE1ZD
Invoice Number Invoice Date IGST Paid(INR)
XXXXXXXXXXX018  2017-11-04  521924 </t>
  </si>
  <si>
    <t xml:space="preserve">AWB No. Gateway Port Gateway EGM No. Gateway EGM Date Gateway Site ID Error Code
N.A.  INMUN1  139245  2017-11-21 00:00:00.0  INMUN1  S </t>
  </si>
  <si>
    <t>2017/11/16</t>
  </si>
  <si>
    <t xml:space="preserve">IEC CHA No. Job No. Job Date Port of Discharge Total Package Gross Weight (Kg) FOB(INR) Total Cess (INR) Drawback STR Total (DBK+STR) CIN NO. CIN DT. Reward Flag
5212012333  AAVCS2245KCH001  7425011  16 NOV 2017 12:11  AEJEA  86  1570  4408141.92  0  88163  0  88163  N.A.  N.A.  Click here to view item wise reward details </t>
  </si>
  <si>
    <t xml:space="preserve">Current Que LEO Date EP Copy Print Status DBK Scroll No Scroll Date EGM Integration Status
HIST  17 NOV 2017 00:11  Y  22753/2017  24 NOV 2017 00:11  Y </t>
  </si>
  <si>
    <t xml:space="preserve">EGM No. EGM Date Container No. Seal No. Error Message
R537902011  2017-11-20 0.0.0.0  FCIU8626623  411133  N.A. </t>
  </si>
  <si>
    <t xml:space="preserve">ROSL Availed Amount(INR) Scroll Number Scroll Date
Y  70617  25870/2017  2017-11-30 0.0.0.0 </t>
  </si>
  <si>
    <t xml:space="preserve">GSTIN    -    24AXXXXXXXXK1ZB
Invoice Number Invoice Date IGST Paid(INR)
XXXXXXXXXXXXXX-18  2017-11-15  86415 </t>
  </si>
  <si>
    <t xml:space="preserve">AWB No. Gateway Port Gateway EGM No. Gateway EGM Date Gateway Site ID Error Code
N.A.  INMUN1  139240  2017-11-21 00:00:00.0  INMUN1  S </t>
  </si>
  <si>
    <t xml:space="preserve">IEC CHA No. Job No. Job Date Port of Discharge Total Package Gross Weight (Kg) FOB(INR) Total Cess (INR) Drawback STR Total (DBK+STR) CIN NO. CIN DT. Reward Flag
0314004173  AEKPR9484FCH001  7445764  16 NOV 2017 12:11  KRBUS  8  12245  1535743.3  0  16893  0  16893  N.A.  N.A.  Click here to view item wise reward details </t>
  </si>
  <si>
    <t xml:space="preserve">Current Que LEO Date EP Copy Print Status DBK Scroll No Scroll Date EGM Integration Status
HIST  18 NOV 2017 00:11  Y  22850/2017  30 NOV 2017 00:11  Y </t>
  </si>
  <si>
    <t xml:space="preserve">EGM No. EGM Date Container No. Seal No. Error Message
R687342211  2017-11-22 0.0.0.0  DFSU6722642  411424  N.A. </t>
  </si>
  <si>
    <t xml:space="preserve">GSTIN    -    27AXXXXXXXXG1ZA
Invoice Number Invoice Date IGST Paid(INR)
XXXXXXXXXXX-18  2017-11-11  1193 </t>
  </si>
  <si>
    <t>2017/11/17</t>
  </si>
  <si>
    <t xml:space="preserve">IEC CHA No. Job No. Job Date Port of Discharge Total Package Gross Weight (Kg) FOB(INR) Total Cess (INR) Drawback STR Total (DBK+STR) CIN NO. CIN DT. Reward Flag
0588044440  AACCP0287DCH001  7459328  17 NOV 2017 12:11  CNTAO  1  150  31092.15  0  622  0  622  N.A.  N.A.  Click here to view item wise reward details </t>
  </si>
  <si>
    <t xml:space="preserve">Current Que LEO Date EP Copy Print Status DBK Scroll No Scroll Date EGM Integration Status
HIST  25 NOV 2017 00:11  Y  23003/2017  12 DEC 2017 00:12  Y </t>
  </si>
  <si>
    <t xml:space="preserve">EGM No. EGM Date Container No. Seal No. Error Message
R387640112  2017-12-1 0.0.0.0  BSIU2622058  4125002  N.A. </t>
  </si>
  <si>
    <t xml:space="preserve">GSTIN    -    06AXXXXXXXXF1ZQ
Invoice Number Invoice Date IGST Paid(INR)
XXXXXXXXX152  2017-11-09  8504 </t>
  </si>
  <si>
    <t xml:space="preserve">IEC CHA No. Job No. Job Date Port of Discharge Total Package Gross Weight (Kg) FOB(INR) Total Cess (INR) Drawback STR Total (DBK+STR) CIN NO. CIN DT. Reward Flag
0588044440  AACCP0287DCH001  7459451  17 NOV 2017 12:11  CNTAO  10  7278  1083421.48  0  21668  0  21668  N.A.  N.A.  Click here to view item wise reward details </t>
  </si>
  <si>
    <t xml:space="preserve">Current Que LEO Date EP Copy Print Status DBK Scroll No Scroll Date EGM Integration Status
HIST  28 NOV 2017 00:11  Y  23003/2017  12 DEC 2017 00:12  Y </t>
  </si>
  <si>
    <t xml:space="preserve">EGM No. EGM Date Container No. Seal No. Error Message
R387640112  2017-12-1 0.0.0.0  BSIU2622058  412502  N.A. </t>
  </si>
  <si>
    <t xml:space="preserve">GSTIN    -    06AXXXXXXXXF1ZQ
Invoice Number Invoice Date IGST Paid(INR)
XXXXXXXXX151  2017-11-09  296338 </t>
  </si>
  <si>
    <t>2017/11/20</t>
  </si>
  <si>
    <t xml:space="preserve">IEC CHA No. Job No. Job Date Port of Discharge Total Package Gross Weight (Kg) FOB(INR) Total Cess (INR) Drawback STR Total (DBK+STR) CIN NO. CIN DT. Reward Flag
0506012905  FHMPS1058ECH001  7523924  20 NOV 2017 12:11  MYPKG  30  25390  1221791.25  0  0  0  0  N.A.  N.A.  Click here to view item wise reward details </t>
  </si>
  <si>
    <t xml:space="preserve">Current Que LEO Date EP Copy Print Status DBK Scroll No Scroll Date EGM Integration Status
HIST  22 NOV 2017 00:11  Y  N.A.  N.A.  Y </t>
  </si>
  <si>
    <t xml:space="preserve">EGM No. EGM Date Container No. Seal No. Error Message
T847822511  2017-11-25 0.0.0.0  HJCU8397833  411554  N.A. </t>
  </si>
  <si>
    <t xml:space="preserve">GSTIN    -    07AXXXXXXXXP2Z7
Invoice Number Invoice Date IGST Paid(INR)
XXXXXXX003  2017-11-20  222797 </t>
  </si>
  <si>
    <t xml:space="preserve">AWB No. Gateway Port Gateway EGM No. Gateway EGM Date Gateway Site ID Error Code
N.A.  INNSA1  139142  2017-11-20 00:00:00.0  INNSA1  S </t>
  </si>
  <si>
    <t>2017/11/21</t>
  </si>
  <si>
    <t xml:space="preserve">IEC CHA No. Job No. Job Date Port of Discharge Total Package Gross Weight (Kg) FOB(INR) Total Cess (INR) Drawback STR Total (DBK+STR) CIN NO. CIN DT. Reward Flag
0507004761  AADCR9553KCH003  7532585  21 NOV 2017 12:11  KEMBA  3  1365  980400  0  19608  0  19608  N.A.  N.A.  Click here to view item wise reward details </t>
  </si>
  <si>
    <t xml:space="preserve">Current Que LEO Date EP Copy Print Status DBK Scroll No Scroll Date EGM Integration Status
HIST  24 NOV 2017 00:11  Y  23003/2017  12 DEC 2017 00:12  Y </t>
  </si>
  <si>
    <t xml:space="preserve">EGM No. EGM Date Container No. Seal No. Error Message
R437503011  2017-11-30 0.0.0.0  TCNU9920746  411975  N.A. </t>
  </si>
  <si>
    <t xml:space="preserve">GSTIN    -    09AXXXXXXXXM1ZH
Invoice Number Invoice Date IGST Paid(INR)
002  2017-11-20  176472 </t>
  </si>
  <si>
    <t xml:space="preserve">AWB No. Gateway Port Gateway EGM No. Gateway EGM Date Gateway Site ID Error Code
N.A.  INNSA1  137386  2017-10-23 00:00:00.0  INNSA1  S </t>
  </si>
  <si>
    <t xml:space="preserve">IEC CHA No. Job No. Job Date Port of Discharge Total Package Gross Weight (Kg) FOB(INR) Total Cess (INR) Drawback STR Total (DBK+STR) CIN NO. CIN DT. Reward Flag
0515015504  AHDPK8975CCH001  7543728  21 NOV 2017 12:11  SARUH  964  14303.76  5708637  0  114173  0  114173  N.A.  N.A.  Click here to view item wise reward details </t>
  </si>
  <si>
    <t xml:space="preserve">Current Que LEO Date EP Copy Print Status DBK Scroll No Scroll Date EGM Integration Status
HIST  24 NOV 2017 00:11  Y  22915/2017  05 DEC 2017 00:12  Y </t>
  </si>
  <si>
    <t xml:space="preserve">EGM No. EGM Date Container No. Seal No. Error Message
J167202811  2017-11-28 0.0.0.0  DFSU2200589  411827  N.A. </t>
  </si>
  <si>
    <t xml:space="preserve">GSTIN    -    07AXXXXXXXXQ2ZD
Invoice Number Invoice Date IGST Paid(INR)
01  2017-11-21  5678 </t>
  </si>
  <si>
    <t xml:space="preserve">AWB No. Gateway Port Gateway EGM No. Gateway EGM Date Gateway Site ID Error Code
N.A.  INMUN1  140712  2017-12-15 00:00:00.0  INMUN1  S </t>
  </si>
  <si>
    <t xml:space="preserve">IEC CHA No. Job No. Job Date Port of Discharge Total Package Gross Weight (Kg) FOB(INR) Total Cess (INR) Drawback STR Total (DBK+STR) CIN NO. CIN DT. Reward Flag
3091000621  AGVPS9920JCH001  7548095  21 NOV 2017 12:11  SARUH  142  5041  5898834.6  0  147226  0  147226  N.A.  N.A.  Click here to view item wise reward details </t>
  </si>
  <si>
    <t xml:space="preserve">Current Que LEO Date EP Copy Print Status DBK Scroll No Scroll Date EGM Integration Status
HIST  23 NOV 2017 00:11  Y  22915/2017  05 DEC 2017 00:12  Y </t>
  </si>
  <si>
    <t xml:space="preserve">EGM No. EGM Date Container No. Seal No. Error Message
R207722511  2017-11-25 0.0.0.0  MRSU3677223  411610  N.A. </t>
  </si>
  <si>
    <t xml:space="preserve">ROSL Availed Amount(INR) Scroll Number Scroll Date
Y  68426  25875/2017  2017-12-10 0.0.0.0 </t>
  </si>
  <si>
    <t xml:space="preserve">GSTIN    -    03AXXXXXXXXJ1Z2
Invoice Number Invoice Date IGST Paid(INR)
XXXXXXXXXX018  2017-11-16  295102 </t>
  </si>
  <si>
    <t xml:space="preserve">AWB No. Gateway Port Gateway EGM No. Gateway EGM Date Gateway Site ID Error Code
N.A.  INPAV1  137999  2017-11-01 00:00:00.0  INPAV1  S </t>
  </si>
  <si>
    <t>2017/11/22</t>
  </si>
  <si>
    <t xml:space="preserve">IEC CHA No. Job No. Job Date Port of Discharge Total Package Gross Weight (Kg) FOB(INR) Total Cess (INR) Drawback STR Total (DBK+STR) CIN NO. CIN DT. Reward Flag
0505000873  AOWPS6493KCH001  7556186  22 NOV 2017 12:11  THBKK  2  543.35  612417.83  0  11416  0  11416  N.A.  N.A.  Click here to view item wise reward details </t>
  </si>
  <si>
    <t xml:space="preserve">Current Que LEO Date EP Copy Print Status DBK Scroll No Scroll Date EGM Integration Status
HIST  23 NOV 2017 00:11  Y  22850/2017  30 NOV 2017 00:11  Y </t>
  </si>
  <si>
    <t xml:space="preserve">EGM No. EGM Date Container No. Seal No. Error Message
T847822511  2017-11-25 0.0.0.0  TCNU3363089  411483  N.A. </t>
  </si>
  <si>
    <t xml:space="preserve">GSTIN    -    07AXXXXXXXXB1ZS
Invoice Number Invoice Date IGST Paid(INR)
XXXXXXX017  2017-10-22  99523 </t>
  </si>
  <si>
    <t xml:space="preserve">AWB No. Gateway Port Gateway EGM No. Gateway EGM Date Gateway Site ID Error Code
N.A.  INNSA1  138641  2017-11-13 00:00:00.0  INNSA1  S </t>
  </si>
  <si>
    <t xml:space="preserve">IEC CHA No. Job No. Job Date Port of Discharge Total Package Gross Weight (Kg) FOB(INR) Total Cess (INR) Drawback STR Total (DBK+STR) CIN NO. CIN DT. Reward Flag
1414003447  AAACC6689ECH001  7565077  22 NOV 2017 12:11  CUHAV  20  120  541800  0  8127  0  8127  N.A.  N.A.  Click here to view item wise reward details </t>
  </si>
  <si>
    <t xml:space="preserve">Current Que LEO Date EP Copy Print Status DBK Scroll No Scroll Date EGM Integration Status
HIST  30 NOV 2017 00:11  Y  23003/2017  12 DEC 2017 00:12  Y </t>
  </si>
  <si>
    <t xml:space="preserve">EGM No. EGM Date Container No. Seal No. Error Message
T437060412  2017-12-4 0.0.0.0  KMTU7328622  412556  N.A. </t>
  </si>
  <si>
    <t xml:space="preserve">GSTIN    -    07AXXXXXXXXA1ZH
Invoice Number Invoice Date IGST Paid(INR)
XXXXXXXXXXXXXX365  2017-11-02  65520 </t>
  </si>
  <si>
    <t xml:space="preserve">AWB No. Gateway Port Gateway EGM No. Gateway EGM Date Gateway Site ID Error Code
N.A.  INMUN1  139344  2017-11-22 00:00:00.0  INMUN1  S </t>
  </si>
  <si>
    <t xml:space="preserve">IEC CHA No. Job No. Job Date Port of Discharge Total Package Gross Weight (Kg) FOB(INR) Total Cess (INR) Drawback STR Total (DBK+STR) CIN NO. CIN DT. Reward Flag
0500075158  ADXPJ1610RCH001  7567166  22 NOV 2017 12:11  USBOS  79  950  1855697.25  0  37114  0  37114  N.A.  N.A.  Click here to view item wise reward details </t>
  </si>
  <si>
    <t xml:space="preserve">Current Que LEO Date EP Copy Print Status DBK Scroll No Scroll Date EGM Integration Status
HIST  25 NOV 2017 00:11  Y  22915/2017  05 DEC 2017 00:12  Y </t>
  </si>
  <si>
    <t xml:space="preserve">EGM No. EGM Date Container No. Seal No. Error Message
TX187402911  2017-11-29 0.0.0.0  TRLU7427748  411957  N.A. </t>
  </si>
  <si>
    <t xml:space="preserve">ROSL Availed Amount(INR) Scroll Number Scroll Date
Y  31547  25875/2017  2017-12-10 0.0.0.0 </t>
  </si>
  <si>
    <t xml:space="preserve">GSTIN    -    07AXXXXXXXXP3ZI
Invoice Number Invoice Date IGST Paid(INR)
XXXXXXXXXXXXXX-18  2017-11-15  92061 </t>
  </si>
  <si>
    <t xml:space="preserve">IEC CHA No. Job No. Job Date Port of Discharge Total Package Gross Weight (Kg) FOB(INR) Total Cess (INR) Drawback STR Total (DBK+STR) CIN NO. CIN DT. Reward Flag
0509047491  AOWPS6493KCH001  7574201  22 NOV 2017 12:11  BDCGP  1000  9344.5  967500  0  14513  0  14513  N.A.  N.A.  Click here to view item wise reward details </t>
  </si>
  <si>
    <t xml:space="preserve">EGM No. EGM Date Container No. Seal No. Error Message
R627362911  2017-11-29 0.0.0.0  NYKU4799912  411945  N.A. </t>
  </si>
  <si>
    <t xml:space="preserve">GSTIN    -    07AXXXXXXXXE1Z3
Invoice Number Invoice Date IGST Paid(INR)
XXXXXXXX-18  2017-11-14  187200 </t>
  </si>
  <si>
    <t xml:space="preserve">AWB No. Gateway Port Gateway EGM No. Gateway EGM Date Gateway Site ID Error Code
N.A.  INNSA1  139138  2017-11-20 00:00:00.0  INNSA1  S </t>
  </si>
  <si>
    <t xml:space="preserve">IEC CHA No. Job No. Job Date Port of Discharge Total Package Gross Weight (Kg) FOB(INR) Total Cess (INR) Drawback STR Total (DBK+STR) CIN NO. CIN DT. Reward Flag
3307004344  AAAFA8105CCH001  7574720  22 NOV 2017 12:11  LKCMB  5  54.75  73530  0  1471  0  1471  N.A.  N.A.  Click here to view item wise reward details </t>
  </si>
  <si>
    <t xml:space="preserve">EGM No. EGM Date Container No. Seal No. Error Message
R627362911  2017-11-29 0.0.0.0  BMOU6253517  411954  N.A. </t>
  </si>
  <si>
    <t xml:space="preserve">GSTIN    -    06AXXXXXXXXG1ZC
Invoice Number Invoice Date IGST Paid(INR)
XXXXXXXXX/09  2017-11-22  13655 </t>
  </si>
  <si>
    <t xml:space="preserve">AWB No. Gateway Port Gateway EGM No. Gateway EGM Date Gateway Site ID Error Code
N.A.  INNSA1  138478  2017-11-09 00:00:00.0  INNSA1  S </t>
  </si>
  <si>
    <t xml:space="preserve">IEC CHA No. Job No. Job Date Port of Discharge Total Package Gross Weight (Kg) FOB(INR) Total Cess (INR) Drawback STR Total (DBK+STR) CIN NO. CIN DT. Reward Flag
0709012331  AACCN5026ECH007  7575851  22 NOV 2017 12:11  PACFZ  18  8427  4276460.94  0  85529  0  85529  N.A.  N.A.  Click here to view item wise reward details </t>
  </si>
  <si>
    <t xml:space="preserve">EGM No. EGM Date Container No. Seal No. Error Message
T967482311  2017-11-23 0.0.0.0  HASU1140092  003335  N.A. </t>
  </si>
  <si>
    <t xml:space="preserve">GSTIN    -    06AXXXXXXXXD1Z8
Invoice Number Invoice Date IGST Paid(INR)
XXXXXXXXXXXXXX038  2017-11-22  803179 </t>
  </si>
  <si>
    <t xml:space="preserve">AWB No. Gateway Port Gateway EGM No. Gateway EGM Date Gateway Site ID Error Code
N.A.  INMUN1  139513  2017-11-24 00:00:00.0  INMUN1  S </t>
  </si>
  <si>
    <t xml:space="preserve">IEC CHA No. Job No. Job Date Port of Discharge Total Package Gross Weight (Kg) FOB(INR) Total Cess (INR) Drawback STR Total (DBK+STR) CIN NO. CIN DT. Reward Flag
0598045783  FHMPS1058ECH001  7576325  22 NOV 2017 12:11  KEMBA  34  636  406995  0  0  0  0  N.A.  N.A.  Click here to view item wise reward details </t>
  </si>
  <si>
    <t xml:space="preserve">Current Que LEO Date EP Copy Print Status DBK Scroll No Scroll Date EGM Integration Status
HIST  25 NOV 2017 00:11  Y  N.A.  N.A.  Y </t>
  </si>
  <si>
    <t xml:space="preserve">EGM No. EGM Date Container No. Seal No. Error Message
T857541412  2017-12-14 0.0.0.0  CAIU3489047  413637  N.A. </t>
  </si>
  <si>
    <t xml:space="preserve">GSTIN    -    07AXXXXXXXXA1Z1
Invoice Number Invoice Date IGST Paid(INR)
XXXXXXXXXXXXXX-18  2017-11-16  46512 </t>
  </si>
  <si>
    <t xml:space="preserve">AWB No. Gateway Port Gateway EGM No. Gateway EGM Date Gateway Site ID Error Code
N.A.  INMUN1  140625  2017-12-13 00:00:00.0  INMUN1  S </t>
  </si>
  <si>
    <t>2017/11/23</t>
  </si>
  <si>
    <t xml:space="preserve">IEC CHA No. Job No. Job Date Port of Discharge Total Package Gross Weight (Kg) FOB(INR) Total Cess (INR) Drawback STR Total (DBK+STR) CIN NO. CIN DT. Reward Flag
0595059040  AAGCA1465QCH001  7595016  23 NOV 2017 12:11  THBKK  50  2690.27  736994.88  0  14250  0  14250  N.A.  N.A.  Click here to view item wise reward details </t>
  </si>
  <si>
    <t xml:space="preserve">Current Que LEO Date EP Copy Print Status DBK Scroll No Scroll Date EGM Integration Status
HIST  28 NOV 2017 00:11  Y  24208/2018  09 MAR 2018 00:03  Y </t>
  </si>
  <si>
    <t xml:space="preserve">EGM No. EGM Date Container No. Seal No. Error Message
J197640912  2017-12-9 0.0.0.0  NYKU3801471  413243  N.A. </t>
  </si>
  <si>
    <t xml:space="preserve">GSTIN    -    07AXXXXXXXXC1ZF
Invoice Number Invoice Date IGST Paid(INR)
X061  2017-11-22  2065 </t>
  </si>
  <si>
    <t xml:space="preserve">IEC CHA No. Job No. Job Date Port of Discharge Total Package Gross Weight (Kg) FOB(INR) Total Cess (INR) Drawback STR Total (DBK+STR) CIN NO. CIN DT. Reward Flag
0592023052  AACCP0287DCH001  7603656  23 NOV 2017 12:11  TRAMB  5  2530  429786.56  0  8596  0  8596  N.A.  N.A.  Click here to view item wise reward details </t>
  </si>
  <si>
    <t xml:space="preserve">EGM No. EGM Date Container No. Seal No. Error Message
R627362911  2017-11-29 0.0.0.0  TRLU6853517  411953  N.A. </t>
  </si>
  <si>
    <t xml:space="preserve">GSTIN    -    06AXXXXXXXXE4ZU
Invoice Number Invoice Date IGST Paid(INR)
XXXXXXXXXXXXXX-18  2017-11-20  77361 </t>
  </si>
  <si>
    <t xml:space="preserve">AWB No. Gateway Port Gateway EGM No. Gateway EGM Date Gateway Site ID Error Code
N.A.  INNSA1  139301  2017-11-22 00:00:00.0  INNSA1  S </t>
  </si>
  <si>
    <t>2017/11/27</t>
  </si>
  <si>
    <t xml:space="preserve">IEC CHA No. Job No. Job Date Port of Discharge Total Package Gross Weight (Kg) FOB(INR) Total Cess (INR) Drawback STR Total (DBK+STR) CIN NO. CIN DT. Reward Flag
0504011057  AFBPM9459DCH001  7677446  27 NOV 2017 12:11  UZSKD  1196  15600  5296337.45  0  65964  0  65964  N.A.  N.A.  Click here to view item wise reward details </t>
  </si>
  <si>
    <t xml:space="preserve">EGM No. EGM Date Container No. Seal No. Error Message
R557523011  2017-11-30 0.0.0.0  TCNU9933281  412225  N.A. </t>
  </si>
  <si>
    <t xml:space="preserve">GSTIN    -    07AXXXXXXXXE1ZD
Invoice Number Invoice Date IGST Paid(INR)
XXXXXXXXXXX018  2017-11-27  226947 </t>
  </si>
  <si>
    <t xml:space="preserve">AWB No. Gateway Port Gateway EGM No. Gateway EGM Date Gateway Site ID Error Code
N.A.  INMUN1  140199  2017-12-06 00:00:00.0  INMUN1  S </t>
  </si>
  <si>
    <t>2017/11/28</t>
  </si>
  <si>
    <t xml:space="preserve">IEC CHA No. Job No. Job Date Port of Discharge Total Package Gross Weight (Kg) FOB(INR) Total Cess (INR) Drawback STR Total (DBK+STR) CIN NO. CIN DT. Reward Flag
0589043838  AAEFH1939HCH001  7690243  28 NOV 2017 12:11  KEMBA  32  1450  797394.15  0  11926  0  11926  N.A.  N.A.  Click here to view item wise reward details </t>
  </si>
  <si>
    <t xml:space="preserve">Current Que LEO Date EP Copy Print Status DBK Scroll No Scroll Date EGM Integration Status
HIST  30 NOV 2017 00:11  Y  24432/2018  25 MAR 2018 00:03  Y </t>
  </si>
  <si>
    <t xml:space="preserve">EGM No. EGM Date Container No. Seal No. Error Message
R337800212  2017-12-2 0.0.0.0  FCIU8321732  412535  N.A. </t>
  </si>
  <si>
    <t xml:space="preserve">GSTIN    -    07AXXXXXXXXL1Z4
Invoice Number Invoice Date IGST Paid(INR)
XXXXXXXXXXXXX425  2017-11-17  98557 </t>
  </si>
  <si>
    <t xml:space="preserve">AWB No. Gateway Port Gateway EGM No. Gateway EGM Date Gateway Site ID Error Code
N.A.  INNSA1  139557  2017-11-27 00:00:00.0  INNSA1  S </t>
  </si>
  <si>
    <t xml:space="preserve">IEC CHA No. Job No. Job Date Port of Discharge Total Package Gross Weight (Kg) FOB(INR) Total Cess (INR) Drawback STR Total (DBK+STR) CIN NO. CIN DT. Reward Flag
0507051360  AAAFJ1721HCH058  7702003  28 NOV 2017 12:11  THBKK  2  300  386600.1  0  806  0  806  N.A.  N.A.  Click here to view item wise reward details </t>
  </si>
  <si>
    <t xml:space="preserve">Current Que LEO Date EP Copy Print Status DBK Scroll No Scroll Date EGM Integration Status
HIST  29 NOV 2017 00:11  Y  24432/2018  25 MAR 2018 00:03  Y </t>
  </si>
  <si>
    <t xml:space="preserve">EGM No. EGM Date Container No. Seal No. Error Message
R27220612  2017-12-6 0.0.0.0  ZCSU2713253  412560  N.A. </t>
  </si>
  <si>
    <t xml:space="preserve">GSTIN    -    06AXXXXXXXXR2ZO
Invoice Number Invoice Date IGST Paid(INR)
XXXXXXXXXXXXX792  2017-11-28  69994 </t>
  </si>
  <si>
    <t xml:space="preserve">AWB No. Gateway Port Gateway EGM No. Gateway EGM Date Gateway Site ID Error Code
N.A.  INNSA1  139647  2017-11-28 00:00:00.0  INNSA1  S </t>
  </si>
  <si>
    <t xml:space="preserve">IEC CHA No. Job No. Job Date Port of Discharge Total Package Gross Weight (Kg) FOB(INR) Total Cess (INR) Drawback STR Total (DBK+STR) CIN NO. CIN DT. Reward Flag
0592006832  AAACC6689ECH001  7707559  28 NOV 2017 12:11  SRPBM  43  994.5  454005.83  0  0  0  0  N.A.  N.A.  Click here to view item wise reward details </t>
  </si>
  <si>
    <t xml:space="preserve">Current Que LEO Date EP Copy Print Status DBK Scroll No Scroll Date EGM Integration Status
HIST  01 DEC 2017 00:12  Y  N.A.  N.A.  Y </t>
  </si>
  <si>
    <t xml:space="preserve">EGM No. EGM Date Container No. Seal No. Error Message
J197640912  2017-12-9 0.0.0.0  TCKU1680074  413213  N.A. </t>
  </si>
  <si>
    <t xml:space="preserve">GSTIN    -    07AXXXXXXXXN1ZH
Invoice Number Invoice Date IGST Paid(INR)
XXXXXXXXXXX-18  2017-11-15  42400 </t>
  </si>
  <si>
    <t xml:space="preserve">AWB No. Gateway Port Gateway EGM No. Gateway EGM Date Gateway Site ID Error Code
N.A.  INNSA1  139757  2017-11-29 00:00:00.0  INNSA1  S </t>
  </si>
  <si>
    <t>2017/11/29</t>
  </si>
  <si>
    <t xml:space="preserve">IEC CHA No. Job No. Job Date Port of Discharge Total Package Gross Weight (Kg) FOB(INR) Total Cess (INR) Drawback STR Total (DBK+STR) CIN NO. CIN DT. Reward Flag
0510019439  AACCP0287DCH001  7716769  29 NOV 2017 12:11  USCLE  720  18150  232200  0  0  0  0  N.A.  N.A.  Click here to view item wise reward details </t>
  </si>
  <si>
    <t xml:space="preserve">Current Que LEO Date EP Copy Print Status DBK Scroll No Scroll Date EGM Integration Status
HIST  04 DEC 2017 00:12  Y  N.A.  N.A.  Y </t>
  </si>
  <si>
    <t xml:space="preserve">EGM No. EGM Date Container No. Seal No. Error Message
J167401312  2017-12-13 0.0.0.0  HLBU1738246  413562  N.A. </t>
  </si>
  <si>
    <t xml:space="preserve">GSTIN    -    06AXXXXXXXXE1ZC
Invoice Number Invoice Date IGST Paid(INR)
XXXXXXXXXXXXXO/1  2017-11-15  41472 </t>
  </si>
  <si>
    <t xml:space="preserve">AWB No. Gateway Port Gateway EGM No. Gateway EGM Date Gateway Site ID Error Code
N.A.  INMUN1  141045  2017-12-20 00:00:00.0  INMUN1  S </t>
  </si>
  <si>
    <t xml:space="preserve">IEC CHA No. Job No. Job Date Port of Discharge Total Package Gross Weight (Kg) FOB(INR) Total Cess (INR) Drawback STR Total (DBK+STR) CIN NO. CIN DT. Reward Flag
0515933520  AAFCS0723ACH002  7732118  29 NOV 2017 12:11  TZDAR  17  639.71  218143.52  0  3200  0  3200  N.A.  N.A.  Click here to view item wise reward details </t>
  </si>
  <si>
    <t xml:space="preserve">Current Que LEO Date EP Copy Print Status DBK Scroll No Scroll Date EGM Integration Status
HIST  04 DEC 2017 00:12  Y  23143/2017  22 DEC 2017 00:12  Y </t>
  </si>
  <si>
    <t xml:space="preserve">EGM No. EGM Date Container No. Seal No. Error Message
J287881012  2017-12-10 0.0.0.0  GLDU7366712  413279  N.A. </t>
  </si>
  <si>
    <t xml:space="preserve">GSTIN    -    06AXXXXXXXXN1ZN
Invoice Number Invoice Date IGST Paid(INR)
010  2017-11-28  39231 </t>
  </si>
  <si>
    <t xml:space="preserve">AWB No. Gateway Port Gateway EGM No. Gateway EGM Date Gateway Site ID Error Code
N.A.  INNSA1  138234  2017-11-06 00:00:00.0  INNSA1  S </t>
  </si>
  <si>
    <t xml:space="preserve">IEC CHA No. Job No. Job Date Port of Discharge Total Package Gross Weight (Kg) FOB(INR) Total Cess (INR) Drawback STR Total (DBK+STR) CIN NO. CIN DT. Reward Flag
0514078901  AABCT9850BCH003  7734839  29 NOV 2017 12:11  LKCMB  1  1102  1352758.5  0  0  0  0  N.A.  N.A.  Click here to view item wise reward details </t>
  </si>
  <si>
    <t xml:space="preserve">Current Que LEO Date EP Copy Print Status DBK Scroll No Scroll Date EGM Integration Status
HIST  04 DEC 2017 00:12  R  N.A.  N.A.  Y </t>
  </si>
  <si>
    <t xml:space="preserve">EGM No. EGM Date Container No. Seal No. Error Message
T417621512  2017-12-15 0.0.0.0  CLKU5008455  413649  N.A. </t>
  </si>
  <si>
    <t xml:space="preserve">GSTIN    -    06AXXXXXXXXP1ZP
Invoice Number Invoice Date IGST Paid(INR)
XXXXXXXXXXXXXX134  2017-11-15  243493 </t>
  </si>
  <si>
    <t xml:space="preserve">IEC CHA No. Job No. Job Date Port of Discharge Total Package Gross Weight (Kg) FOB(INR) Total Cess (INR) Drawback STR Total (DBK+STR) CIN NO. CIN DT. Reward Flag
0514078901  AABCT9850BCH003  7734853  29 NOV 2017 12:11  LKCMB  2  1032  2022075  0  0  0  0  N.A.  N.A.  Click here to view item wise reward details </t>
  </si>
  <si>
    <t xml:space="preserve">GSTIN    -    06AXXXXXXXXP1ZP
Invoice Number Invoice Date IGST Paid(INR)
XXXXXXXXXXXXXX133  2017-11-24  363971 </t>
  </si>
  <si>
    <t xml:space="preserve">IEC CHA No. Job No. Job Date Port of Discharge Total Package Gross Weight (Kg) FOB(INR) Total Cess (INR) Drawback STR Total (DBK+STR) CIN NO. CIN DT. Reward Flag
0511068212  AHDPK8975CCH001  7734955  29 NOV 2017 12:11  BDCGP  400  4000  603075  0  905  0  905  N.A.  N.A.  Click here to view item wise reward details </t>
  </si>
  <si>
    <t xml:space="preserve">Current Que LEO Date EP Copy Print Status DBK Scroll No Scroll Date EGM Integration Status
HIST  06 DEC 2017 00:12  Y  23043/2017  15 DEC 2017 00:12  Y </t>
  </si>
  <si>
    <t xml:space="preserve">EGM No. EGM Date Container No. Seal No. Error Message
R1237121212  2017-12-12 0.0.0.0  MXCU0013026  413549  N.A. </t>
  </si>
  <si>
    <t xml:space="preserve">GSTIN    -    07AXXXXXXXXH1ZW
Invoice Number Invoice Date IGST Paid(INR)
XXXXXXE03  2017-11-28  112320 </t>
  </si>
  <si>
    <t xml:space="preserve">AWB No. Gateway Port Gateway EGM No. Gateway EGM Date Gateway Site ID Error Code
N.A.  INNSA1  139773  2017-11-29 00:00:00.0  INNSA1  S </t>
  </si>
  <si>
    <t>2017/11/30</t>
  </si>
  <si>
    <t xml:space="preserve">IEC CHA No. Job No. Job Date Port of Discharge Total Package Gross Weight (Kg) FOB(INR) Total Cess (INR) Drawback STR Total (DBK+STR) CIN NO. CIN DT. Reward Flag
3393002155  AAACU5306LCH002  7747640  30 NOV 2017 12:11  USNYC  1  267.6  191565  0  1164  0  1164  N.A.  N.A.  Click here to view item wise reward details </t>
  </si>
  <si>
    <t xml:space="preserve">Current Que LEO Date EP Copy Print Status DBK Scroll No Scroll Date EGM Integration Status
HIST  04 DEC 2017 00:12  Y  23043/2017  15 DEC 2017 00:12  Y </t>
  </si>
  <si>
    <t xml:space="preserve">EGM No. EGM Date Container No. Seal No. Error Message
J277400712  2017-12-7 0.0.0.0  CAIU9937278  412596  N.A. </t>
  </si>
  <si>
    <t xml:space="preserve">GSTIN    -    06AXXXXXXXXC2Z2
Invoice Number Invoice Date IGST Paid(INR)
XXXXX025  2017-11-16  34481700 </t>
  </si>
  <si>
    <t xml:space="preserve">AWB No. Gateway Port Gateway EGM No. Gateway EGM Date Gateway Site ID Error Code
N.A.  INMUN1  138172  2017-11-03 00:00:00.0  INMUN1  S </t>
  </si>
  <si>
    <t xml:space="preserve">IEC CHA No. Job No. Job Date Port of Discharge Total Package Gross Weight (Kg) FOB(INR) Total Cess (INR) Drawback STR Total (DBK+STR) CIN NO. CIN DT. Reward Flag
3003005391  AAJFT3321JCH001  7760698  30 NOV 2017 12:11  LKCMB  301  6597.4  1783360.5  0  15199  0  15199  N.A.  N.A.  Click here to view item wise reward details </t>
  </si>
  <si>
    <t xml:space="preserve">Current Que LEO Date EP Copy Print Status DBK Scroll No Scroll Date EGM Integration Status
HIST  01 DEC 2017 00:12  Y  23003/2017  12 DEC 2017 00:12  Y </t>
  </si>
  <si>
    <t xml:space="preserve">EGM No. EGM Date Container No. Seal No. Error Message
R1237200512  2017-12-5 0.0.0.0  DFSU2225340  412619  N.A. </t>
  </si>
  <si>
    <t xml:space="preserve">GSTIN    -    02AXXXXXXXXR2Z6
Invoice Number Invoice Date IGST Paid(INR)
XXXXXXXXXXXXXX25/  2017-11-29  1841 </t>
  </si>
  <si>
    <t xml:space="preserve">AWB No. Gateway Port Gateway EGM No. Gateway EGM Date Gateway Site ID Error Code
N.A.  INPAV1  139653  2017-11-28 00:00:00.0  INPAV1  S </t>
  </si>
  <si>
    <t xml:space="preserve">IEC CHA No. Job No. Job Date Port of Discharge Total Package Gross Weight (Kg) FOB(INR) Total Cess (INR) Drawback STR Total (DBK+STR) CIN NO. CIN DT. Reward Flag
0500075158  ADXPJ1610RCH001  7762461  30 NOV 2017 12:11  USBOS  19  215  219493.5  0  3781  0  3781  N.A.  N.A.  Click here to view item wise reward details </t>
  </si>
  <si>
    <t xml:space="preserve">EGM No. EGM Date Container No. Seal No. Error Message
R577300612  2017-12-6 0.0.0.0  CMAU4390576  412582  N.A. </t>
  </si>
  <si>
    <t xml:space="preserve">ROSL Availed Amount(INR) Scroll Number Scroll Date
Y  3512  25875/2017  2017-12-10 0.0.0.0 </t>
  </si>
  <si>
    <t xml:space="preserve">GSTIN    -    07AXXXXXXXXP3ZI
Invoice Number Invoice Date IGST Paid(INR)
XXXXXXXXXXXXXX-18  2017-11-19  10889 </t>
  </si>
  <si>
    <t xml:space="preserve">IEC CHA No. Job No. Job Date Port of Discharge Total Package Gross Weight (Kg) FOB(INR) Total Cess (INR) Drawback STR Total (DBK+STR) CIN NO. CIN DT. Reward Flag
0500075158  ADXPJ1610RCH001  7762485  30 NOV 2017 12:11  USBOS  12  158  209012.25  0  4180  0  4180  N.A.  N.A.  Click here to view item wise reward details </t>
  </si>
  <si>
    <t xml:space="preserve">ROSL Availed Amount(INR) Scroll Number Scroll Date
Y  3344  25875/2017  2017-12-10 0.0.0.0 </t>
  </si>
  <si>
    <t xml:space="preserve">GSTIN    -    07AXXXXXXXXP3ZI
Invoice Number Invoice Date IGST Paid(INR)
XXXXXXXXXXXXXX-18  2017-11-28  10369 </t>
  </si>
  <si>
    <t xml:space="preserve">IEC CHA No. Job No. Job Date Port of Discharge Total Package Gross Weight (Kg) FOB(INR) Total Cess (INR) Drawback STR Total (DBK+STR) CIN NO. CIN DT. Reward Flag
0509003061  AADCR9553KCH003  7765508  30 NOV 2017 12:11  MXATM  1  395  401125.5  0  5780  0  5780  N.A.  N.A.  Click here to view item wise reward details </t>
  </si>
  <si>
    <t xml:space="preserve">Current Que LEO Date EP Copy Print Status DBK Scroll No Scroll Date EGM Integration Status
HIST  05 DEC 2017 00:12  Y  23003/2017  12 DEC 2017 00:12  Y </t>
  </si>
  <si>
    <t xml:space="preserve">EGM No. EGM Date Container No. Seal No. Error Message
T907240612  2017-12-6 0.0.0.0  HAMU1019978  001176  N.A. </t>
  </si>
  <si>
    <t xml:space="preserve">GSTIN    -    06AXXXXXXXXK1ZV
Invoice Number Invoice Date IGST Paid(INR)
XXXXXXXXXX216  2017-11-24  446822 </t>
  </si>
  <si>
    <t xml:space="preserve">AWB No. Gateway Port Gateway EGM No. Gateway EGM Date Gateway Site ID Error Code
N.A.  INMUN1  138681  2017-11-13 00:00:00.0  INMUN1  S </t>
  </si>
  <si>
    <t xml:space="preserve">IEC CHA No. Job No. Job Date Port of Discharge Total Package Gross Weight (Kg) FOB(INR) Total Cess (INR) Drawback STR Total (DBK+STR) CIN NO. CIN DT. Reward Flag
0509003061  AADCR9553KCH003  7767682  30 NOV 2017 12:11  MXATM  16  4560  7457793.15  0  66470  0  66470  N.A.  N.A.  Click here to view item wise reward details </t>
  </si>
  <si>
    <t xml:space="preserve">Current Que LEO Date EP Copy Print Status DBK Scroll No Scroll Date EGM Integration Status
HIST  05 DEC 2017 00:12  Y  24432/2018  25 MAR 2018 00:03  Y </t>
  </si>
  <si>
    <t xml:space="preserve">GSTIN    -    06AXXXXXXXXK1ZV
Invoice Number Invoice Date IGST Paid(INR)
XXXXXXXXXX215  2017-11-24  1787288 </t>
  </si>
  <si>
    <t xml:space="preserve">AWB No. Gateway Port Gateway EGM No. Gateway EGM Date Gateway Site ID Error Code
N.A.  INMUN1  138991  2017-11-17 00:00:00.0  INMUN1  S </t>
  </si>
  <si>
    <t xml:space="preserve">IEC CHA No. Job No. Job Date Port of Discharge Total Package Gross Weight (Kg) FOB(INR) Total Cess (INR) Drawback STR Total (DBK+STR) CIN NO. CIN DT. Reward Flag
0512064172  AKMPA9089KCH001  7768027  30 NOV 2017 12:11  AEJEA  24  1000  1993836.32  0  41725  0  41725  N.A.  N.A.  Click here to view item wise reward details </t>
  </si>
  <si>
    <t xml:space="preserve">Current Que LEO Date EP Copy Print Status DBK Scroll No Scroll Date EGM Integration Status
HIST  04 DEC 2017 00:12  Y  23003/2017  12 DEC 2017 00:12  Y </t>
  </si>
  <si>
    <t xml:space="preserve">EGM No. EGM Date Container No. Seal No. Error Message
J277400712  2017-12-7 0.0.0.0  CAXU8229337  413201  N.A. </t>
  </si>
  <si>
    <t xml:space="preserve">ROSL Availed Amount(INR) Scroll Number Scroll Date
Y  26390  25879/2017  2017-12-20 0.0.0.0 </t>
  </si>
  <si>
    <t xml:space="preserve">GSTIN    -    07AXXXXXXXXK1Z2
Invoice Number Invoice Date IGST Paid(INR)
XXXXXXXXXX201  2017-11-25  108705 </t>
  </si>
  <si>
    <t xml:space="preserve">AWB No. Gateway Port Gateway EGM No. Gateway EGM Date Gateway Site ID Error Code
N.A.  INMUN1  140232  2017-12-07 00:00:00.0  INMUN1  S </t>
  </si>
  <si>
    <t xml:space="preserve">IEC CHA No. Job No. Job Date Port of Discharge Total Package Gross Weight (Kg) FOB(INR) Total Cess (INR) Drawback STR Total (DBK+STR) CIN NO. CIN DT. Reward Flag
0513021612  AEOPA9390KCH001  7768840  30 NOV 2017 12:11  MUPLU  64  1072  564385.32  0  11074  0  11074  N.A.  N.A.  Click here to view item wise reward details </t>
  </si>
  <si>
    <t xml:space="preserve">EGM No. EGM Date Container No. Seal No. Error Message
J197640912  2017-12-9 0.0.0.0  VSTU9000091  413278  N.A. </t>
  </si>
  <si>
    <t xml:space="preserve">GSTIN    -    07AXXXXXXXXF2ZV
Invoice Number Invoice Date IGST Paid(INR)
XXXXXXXXXXXXXXT36  2017-11-28  101578 </t>
  </si>
  <si>
    <t xml:space="preserve">AWB No. Gateway Port Gateway EGM No. Gateway EGM Date Gateway Site ID Error Code
N.A.  INNSA1  139792  2017-11-30 00:00:00.0  INNSA1  S </t>
  </si>
  <si>
    <t>2017/12/01</t>
  </si>
  <si>
    <t xml:space="preserve">IEC CHA No. Job No. Job Date Port of Discharge Total Package Gross Weight (Kg) FOB(INR) Total Cess (INR) Drawback STR Total (DBK+STR) CIN NO. CIN DT. Reward Flag
0516526065  AADCA0273BCH001  7783051  01 DEC 2017 12:12  USDAL  168  1974.3  335390.33  0  6334  0  6334  N.A.  N.A.  Click here to view item wise reward details </t>
  </si>
  <si>
    <t xml:space="preserve">EGM No. EGM Date Container No. Seal No. Error Message
R957620812  2017-12-8 0.0.0.0  MRKU8210434  413245  N.A. </t>
  </si>
  <si>
    <t xml:space="preserve">GSTIN    -    07DXXXXXXXXL1ZP
Invoice Number Invoice Date IGST Paid(INR)
XXXXXXXXXXXXXX-18  2017-11-29  64076 </t>
  </si>
  <si>
    <t xml:space="preserve">AWB No. Gateway Port Gateway EGM No. Gateway EGM Date Gateway Site ID Error Code
N.A.  INPAV1  139963  2017-12-04 00:00:00.0  INPAV1  S </t>
  </si>
  <si>
    <t xml:space="preserve">IEC CHA No. Job No. Job Date Port of Discharge Total Package Gross Weight (Kg) FOB(INR) Total Cess (INR) Drawback STR Total (DBK+STR) CIN NO. CIN DT. Reward Flag
0504077104  AASPK9028QCH001  7788226  01 DEC 2017 12:12  CHZRH  21  1385  312647.4  0  6878  0  6878  N.A.  N.A.  Click here to view item wise reward details </t>
  </si>
  <si>
    <t xml:space="preserve">Current Que LEO Date EP Copy Print Status DBK Scroll No Scroll Date EGM Integration Status
HIST  07 DEC 2017 00:12  Y  23143/2017  22 DEC 2017 00:12  Y </t>
  </si>
  <si>
    <t xml:space="preserve">EGM No. EGM Date Container No. Seal No. Error Message
J177821612  2017-12-16 0.0.0.0  TCNU9183314  414208  N.A. </t>
  </si>
  <si>
    <t xml:space="preserve">GSTIN    -    07AXXXXXXXXH1ZD
Invoice Number Invoice Date IGST Paid(INR)
XXXXXXXXXXXXX018  2017-11-27  38804 </t>
  </si>
  <si>
    <t xml:space="preserve">AWB No. Gateway Port Gateway EGM No. Gateway EGM Date Gateway Site ID Error Code
N.A.  INMUN1  140925  2017-12-19 00:00:00.0  INMUN1  S </t>
  </si>
  <si>
    <t xml:space="preserve">IEC CHA No. Job No. Job Date Port of Discharge Total Package Gross Weight (Kg) FOB(INR) Total Cess (INR) Drawback STR Total (DBK+STR) CIN NO. CIN DT. Reward Flag
0588062359  AEEPG2440LCH001  7792284  01 DEC 2017 12:12  CAMTR  6  65  124333.92  0  2487  0  2487  N.A.  N.A.  Click here to view item wise reward details </t>
  </si>
  <si>
    <t xml:space="preserve">EGM No. EGM Date Container No. Seal No. Error Message
R27741512  2017-12-15 0.0.0.0  TGHU7862323  413688  N.A. </t>
  </si>
  <si>
    <t xml:space="preserve">ROSL Availed Amount(INR) Scroll Number Scroll Date
Y  2114  25879/2017  2017-12-20 0.0.0.0 </t>
  </si>
  <si>
    <t xml:space="preserve">GSTIN    -    06AXXXXXXXXM1Z2
Invoice Number Invoice Date IGST Paid(INR)
XXXXXXXXX8RG  2017-11-27  6216 </t>
  </si>
  <si>
    <t xml:space="preserve">AWB No. Gateway Port Gateway EGM No. Gateway EGM Date Gateway Site ID Error Code
N.A.  INNSA1  140047  2017-12-05 00:00:00.0  INNSA1  S </t>
  </si>
  <si>
    <t xml:space="preserve">IEC CHA No. Job No. Job Date Port of Discharge Total Package Gross Weight (Kg) FOB(INR) Total Cess (INR) Drawback STR Total (DBK+STR) CIN NO. CIN DT. Reward Flag
0588062359  AEEPG2440LCH001  7792296  01 DEC 2017 12:12  USNYC  2  21  46557.5  0  0  0  0  N.A.  N.A.  Click here to view item wise reward details </t>
  </si>
  <si>
    <t xml:space="preserve">Current Que LEO Date EP Copy Print Status DBK Scroll No Scroll Date EGM Integration Status
HIST  07 DEC 2017 00:12  Y  N.A.  N.A.  Y </t>
  </si>
  <si>
    <t xml:space="preserve">ROSL Availed Amount(INR) Scroll Number Scroll Date
Y  0  YET TO BE GENERATED  YET TO BE GENERATED </t>
  </si>
  <si>
    <t xml:space="preserve">GSTIN    -    06AXXXXXXXXM1Z2
Invoice Number Invoice Date IGST Paid(INR)
XXXXXXXXX8RG  2017-11-18  2327 </t>
  </si>
  <si>
    <t xml:space="preserve">IEC CHA No. Job No. Job Date Port of Discharge Total Package Gross Weight (Kg) FOB(INR) Total Cess (INR) Drawback STR Total (DBK+STR) CIN NO. CIN DT. Reward Flag
0588062359  AEEPG2440LCH001  7792342  01 DEC 2017 12:12  CAMTR  2  21  46557.5  0  0  0  0  N.A.  N.A.  Click here to view item wise reward details </t>
  </si>
  <si>
    <t>2017/12/04</t>
  </si>
  <si>
    <t xml:space="preserve">IEC CHA No. Job No. Job Date Port of Discharge Total Package Gross Weight (Kg) FOB(INR) Total Cess (INR) Drawback STR Total (DBK+STR) CIN NO. CIN DT. Reward Flag
0516954725  AVAPS6694RCH001  7826882  04 DEC 2017 12:12  OMSOH  20  670  492780  0  0  0  0  N.A.  N.A.  Click here to view item wise reward details </t>
  </si>
  <si>
    <t xml:space="preserve">Current Que LEO Date EP Copy Print Status DBK Scroll No Scroll Date EGM Integration Status
HIST  06 DEC 2017 00:12  Y  N.A.  N.A.  Y </t>
  </si>
  <si>
    <t xml:space="preserve">EGM No. EGM Date Container No. Seal No. Error Message
J287881012  2017-12-10 0.0.0.0  GESU5079213  413264  N.A. </t>
  </si>
  <si>
    <t xml:space="preserve">GSTIN    -    07AXXXXXXXXH1ZZ
Invoice Number Invoice Date IGST Paid(INR)
XXXXXXXX155  2017-11-10  86378 </t>
  </si>
  <si>
    <t xml:space="preserve">AWB No. Gateway Port Gateway EGM No. Gateway EGM Date Gateway Site ID Error Code
N.A.  INNSA1  140041  2017-12-05 00:00:00.0  INNSA1  S </t>
  </si>
  <si>
    <t xml:space="preserve">IEC CHA No. Job No. Job Date Port of Discharge Total Package Gross Weight (Kg) FOB(INR) Total Cess (INR) Drawback STR Total (DBK+STR) CIN NO. CIN DT. Reward Flag
0588062359  AEEPG2440LCH001  7833526  04 DEC 2017 12:12  USNYC  8  93  181320.3  0  3626  0  3626  N.A.  N.A.  Click here to view item wise reward details </t>
  </si>
  <si>
    <t xml:space="preserve">ROSL Availed Amount(INR) Scroll Number Scroll Date
Y  3082  25879/2017  2017-12-20 0.0.0.0 </t>
  </si>
  <si>
    <t xml:space="preserve">GSTIN    -    06AXXXXXXXXM1Z2
Invoice Number Invoice Date IGST Paid(INR)
XXXXXXXXX8RG  2017-11-28  9066 </t>
  </si>
  <si>
    <t xml:space="preserve">IEC CHA No. Job No. Job Date Port of Discharge Total Package Gross Weight (Kg) FOB(INR) Total Cess (INR) Drawback STR Total (DBK+STR) CIN NO. CIN DT. Reward Flag
0588062359  AEEPG2440LCH001  7834610  04 DEC 2017 12:12  USNYC  4  43  97770.75  0  882  0  882  N.A.  N.A.  Click here to view item wise reward details </t>
  </si>
  <si>
    <t xml:space="preserve">EGM No. EGM Date Container No. Seal No. Error Message
R27741512  2017-12-15 0.0.0.0  TGHU7862323  3688  N.A. </t>
  </si>
  <si>
    <t xml:space="preserve">ROSL Availed Amount(INR) Scroll Number Scroll Date
Y  1564  25879/2017  2017-12-20 0.0.0.0 </t>
  </si>
  <si>
    <t xml:space="preserve">GSTIN    -    06AXXXXXXXXM1Z2
Invoice Number Invoice Date IGST Paid(INR)
XXXXXXXXX8RG  2017-11-29  4888 </t>
  </si>
  <si>
    <t xml:space="preserve">IEC CHA No. Job No. Job Date Port of Discharge Total Package Gross Weight (Kg) FOB(INR) Total Cess (INR) Drawback STR Total (DBK+STR) CIN NO. CIN DT. Reward Flag
2203003405  AABCS7195NCH001  7834787  04 DEC 2017 12:12  FRLEH  23  24570  2422086.05  0  48442  0  48442  N.A.  N.A.  Click here to view item wise reward details </t>
  </si>
  <si>
    <t xml:space="preserve">EGM No. EGM Date Container No. Seal No. Error Message
R577300612  2017-12-6 0.0.0.0  NYKU3913872  412767  N.A. </t>
  </si>
  <si>
    <t xml:space="preserve">GSTIN    -    04AXXXXXXXXF1ZC
Invoice Number Invoice Date IGST Paid(INR)
05  2017-12-02  1022 </t>
  </si>
  <si>
    <t xml:space="preserve">AWB No. Gateway Port Gateway EGM No. Gateway EGM Date Gateway Site ID Error Code
N.A.  INMUN1  139070  2017-11-17 00:00:00.0  INMUN1  S </t>
  </si>
  <si>
    <t xml:space="preserve">IEC CHA No. Job No. Job Date Port of Discharge Total Package Gross Weight (Kg) FOB(INR) Total Cess (INR) Drawback STR Total (DBK+STR) CIN NO. CIN DT. Reward Flag
0505000873  AOWPS6493KCH001  7840211  04 DEC 2017 12:12  MYPKG  4  2825.3  773677.5  0  15474  0  15474  N.A.  N.A.  Click here to view item wise reward details </t>
  </si>
  <si>
    <t xml:space="preserve">Current Que LEO Date EP Copy Print Status DBK Scroll No Scroll Date EGM Integration Status
HIST  06 DEC 2017 00:12  Y  23143/2017  22 DEC 2017 00:12  Y </t>
  </si>
  <si>
    <t xml:space="preserve">EGM No. EGM Date Container No. Seal No. Error Message
R27741512  2017-12-15 0.0.0.0  TCNU5910694  413686  N.A. </t>
  </si>
  <si>
    <t xml:space="preserve">GSTIN    -    07AXXXXXXXXB1ZS
Invoice Number Invoice Date IGST Paid(INR)
XXXXXXX017  2017-11-20  65433 </t>
  </si>
  <si>
    <t xml:space="preserve">AWB No. Gateway Port Gateway EGM No. Gateway EGM Date Gateway Site ID Error Code
N.A.  INNSA1  139999  2017-12-04 00:00:00.0  INNSA1  S </t>
  </si>
  <si>
    <t>2017/12/05</t>
  </si>
  <si>
    <t xml:space="preserve">IEC CHA No. Job No. Job Date Port of Discharge Total Package Gross Weight (Kg) FOB(INR) Total Cess (INR) Drawback STR Total (DBK+STR) CIN NO. CIN DT. Reward Flag
3000004394  AAEPI0406QCH001  7859753  05 DEC 2017 12:12  GBFXT  52  784.09  1357362.75  0  27147  0  27147  N.A.  N.A.  Click here to view item wise reward details </t>
  </si>
  <si>
    <t xml:space="preserve">Current Que LEO Date EP Copy Print Status DBK Scroll No Scroll Date EGM Integration Status
HIST  07 DEC 2017 00:12  Y  23003/2017  12 DEC 2017 00:12  Y </t>
  </si>
  <si>
    <t xml:space="preserve">EGM No. EGM Date Container No. Seal No. Error Message
J197640912  2017-12-9 0.0.0.0  MRKU5656130  413256  N.A. </t>
  </si>
  <si>
    <t xml:space="preserve">ROSL Availed Amount(INR) Scroll Number Scroll Date
Y  23075  28259/2018  2018-6-15 0.0.0.0 </t>
  </si>
  <si>
    <t xml:space="preserve">GSTIN    -    03AXXXXXXXXK1Z0
Invoice Number Invoice Date IGST Paid(INR)
665  2017-11-28  67868 </t>
  </si>
  <si>
    <t xml:space="preserve">AWB No. Gateway Port Gateway EGM No. Gateway EGM Date Gateway Site ID Error Code
N.A.  INNSA1  138232  2017-11-06 00:00:00.0  INNSA1  N </t>
  </si>
  <si>
    <t xml:space="preserve">IEC CHA No. Job No. Job Date Port of Discharge Total Package Gross Weight (Kg) FOB(INR) Total Cess (INR) Drawback STR Total (DBK+STR) CIN NO. CIN DT. Reward Flag
0504019392  AVAPS6694RCH001  7867709  05 DEC 2017 12:12  DEHAM  6  2589.96  920478.94  0  11231  0  11231  N.A.  N.A.  Click here to view item wise reward details </t>
  </si>
  <si>
    <t xml:space="preserve">EGM No. EGM Date Container No. Seal No. Error Message
R607421312  2017-12-13 0.0.0.0  BSIU2178771  413647  N.A. </t>
  </si>
  <si>
    <t xml:space="preserve">GSTIN    -    06AXXXXXXXXD1ZQ
Invoice Number Invoice Date IGST Paid(INR)
XXXXXXXXX056  2017-12-04  185491 </t>
  </si>
  <si>
    <t xml:space="preserve">AWB No. Gateway Port Gateway EGM No. Gateway EGM Date Gateway Site ID Error Code
N.A.  INNSA1  140472  2017-12-12 00:00:00.0  INNSA1  S </t>
  </si>
  <si>
    <t xml:space="preserve">IEC CHA No. Job No. Job Date Port of Discharge Total Package Gross Weight (Kg) FOB(INR) Total Cess (INR) Drawback STR Total (DBK+STR) CIN NO. CIN DT. Reward Flag
0501016481  AABCT4959MCH001  7867772  05 DEC 2017 12:12  MXZLO  34  930  392459.28  0  5237  0  5237  N.A.  N.A.  Click here to view item wise reward details </t>
  </si>
  <si>
    <t xml:space="preserve">Current Que LEO Date EP Copy Print Status DBK Scroll No Scroll Date EGM Integration Status
HIST  13 DEC 2017 00:12  Y  23143/2017  22 DEC 2017 00:12  Y </t>
  </si>
  <si>
    <t xml:space="preserve">EGM No. EGM Date Container No. Seal No. Error Message
R267901612  2017-12-16 0.0.0.0  TCLU9304152  414201  N.A. </t>
  </si>
  <si>
    <t xml:space="preserve">GSTIN    -    07AXXXXXXXXF1ZH
Invoice Number Invoice Date IGST Paid(INR)
XXXXXXXXXXXXXX7-1  2017-11-30  10297 </t>
  </si>
  <si>
    <t xml:space="preserve">AWB No. Gateway Port Gateway EGM No. Gateway EGM Date Gateway Site ID Error Code
N.A.  INNSA1  139986  2017-12-04 00:00:00.0  INNSA1  S </t>
  </si>
  <si>
    <t xml:space="preserve">IEC CHA No. Job No. Job Date Port of Discharge Total Package Gross Weight (Kg) FOB(INR) Total Cess (INR) Drawback STR Total (DBK+STR) CIN NO. CIN DT. Reward Flag
0588128180  AATPS3087NCH001  7869014  05 DEC 2017 12:12  ZADUR  596  14834  1666744.5  0  22967  0  22967  N.A.  N.A.  Click here to view item wise reward details </t>
  </si>
  <si>
    <t xml:space="preserve">Current Que LEO Date EP Copy Print Status DBK Scroll No Scroll Date EGM Integration Status
HIST  07 DEC 2017 00:12  Y  23043/2017  15 DEC 2017 00:12  Y </t>
  </si>
  <si>
    <t xml:space="preserve">EGM No. EGM Date Container No. Seal No. Error Message
T1007221212  2017-12-12 0.0.0.0  CRXU1571954  413346  N.A. </t>
  </si>
  <si>
    <t xml:space="preserve">GSTIN    -    07AXXXXXXXXJ1Z1
Invoice Number Invoice Date IGST Paid(INR)
XXXXXXXX/17  2017-12-01  12744 </t>
  </si>
  <si>
    <t xml:space="preserve">AWB No. Gateway Port Gateway EGM No. Gateway EGM Date Gateway Site ID Error Code
N.A.  INMUN1  140703  2017-12-14 00:00:00.0  INMUN1  S </t>
  </si>
  <si>
    <t>2017/12/06</t>
  </si>
  <si>
    <t xml:space="preserve">IEC CHA No. Job No. Job Date Port of Discharge Total Package Gross Weight (Kg) FOB(INR) Total Cess (INR) Drawback STR Total (DBK+STR) CIN NO. CIN DT. Reward Flag
0504077171  AKOPK7974PCH001  7883107  06 DEC 2017 12:12  LKCMB  2100  105210  2719320  0  0  0  0  N.A.  N.A.  Click here to view item wise reward details </t>
  </si>
  <si>
    <t xml:space="preserve">Current Que LEO Date EP Copy Print Status DBK Scroll No Scroll Date EGM Integration Status
HIST  08 DEC 2017 00:12  Y  N.A.  N.A.  Y </t>
  </si>
  <si>
    <t xml:space="preserve">EGM No. EGM Date Container No. Seal No. Error Message
TX187580812  2017-12-8 0.0.0.0  TGHU3089350  004585  N.A. </t>
  </si>
  <si>
    <t xml:space="preserve">GSTIN    -    06AXXXXXXXXB1ZF
Invoice Number Invoice Date IGST Paid(INR)
108  2017-12-05  4158 </t>
  </si>
  <si>
    <t xml:space="preserve">AWB No. Gateway Port Gateway EGM No. Gateway EGM Date Gateway Site ID Error Code
N.A.  INMUN1  140290  2017-12-07 00:00:00.0  INMUN1  S </t>
  </si>
  <si>
    <t xml:space="preserve">IEC CHA No. Job No. Job Date Port of Discharge Total Package Gross Weight (Kg) FOB(INR) Total Cess (INR) Drawback STR Total (DBK+STR) CIN NO. CIN DT. Reward Flag
0514067969  ADXPJ1610RCH001  7887075  06 DEC 2017 12:12  USNYC  116  2552  1638558  0  2458  0  2458  N.A.  N.A.  Click here to view item wise reward details </t>
  </si>
  <si>
    <t xml:space="preserve">Current Que LEO Date EP Copy Print Status DBK Scroll No Scroll Date EGM Integration Status
HIST  08 DEC 2017 00:12  Y  23237/2017  29 DEC 2017 00:12  Y </t>
  </si>
  <si>
    <t xml:space="preserve">EGM No. EGM Date Container No. Seal No. Error Message
R27402112  2017-12-21 0.0.0.0  BSIU2864848  414270  N.A. </t>
  </si>
  <si>
    <t xml:space="preserve">GSTIN    -    09AXXXXXXXXA1Z1
Invoice Number Invoice Date IGST Paid(INR)
XXXXX8/B  2017-11-30  274456 </t>
  </si>
  <si>
    <t xml:space="preserve">AWB No. Gateway Port Gateway EGM No. Gateway EGM Date Gateway Site ID Error Code
N.A.  INNSA1  140726  2017-12-15 00:00:00.0  INNSA1  C </t>
  </si>
  <si>
    <t xml:space="preserve">IEC CHA No. Job No. Job Date Port of Discharge Total Package Gross Weight (Kg) FOB(INR) Total Cess (INR) Drawback STR Total (DBK+STR) CIN NO. CIN DT. Reward Flag
0500050139  AACFL6638BCH001  7901913  06 DEC 2017 12:12  USSVQ  2698  16620  5315986.8  0  0  0  0  N.A.  N.A.  Click here to view item wise reward details </t>
  </si>
  <si>
    <t xml:space="preserve">EGM No. EGM Date Container No. Seal No. Error Message
R397500812  2017-12-8 0.0.0.0  MSKU6199024  413024  N.A. </t>
  </si>
  <si>
    <t xml:space="preserve">GSTIN    -    07AXXXXXXXXF1ZU
Invoice Number Invoice Date IGST Paid(INR)
XXXXXXX067  2017-12-04  637916 </t>
  </si>
  <si>
    <t>2017/12/07</t>
  </si>
  <si>
    <t xml:space="preserve">IEC CHA No. Job No. Job Date Port of Discharge Total Package Gross Weight (Kg) FOB(INR) Total Cess (INR) Drawback STR Total (DBK+STR) CIN NO. CIN DT. Reward Flag
0504077171  AKOPK7974PCH001  7906837  07 DEC 2017 12:12  LKCMB  2100  105210  2177520  0  0  0  0  N.A.  N.A.  Click here to view item wise reward details </t>
  </si>
  <si>
    <t xml:space="preserve">EGM No. EGM Date Container No. Seal No. Error Message
R367181212  2017-12-12 0.0.0.0  NYKU9856126  004590  N.A. </t>
  </si>
  <si>
    <t xml:space="preserve">GSTIN    -    06AXXXXXXXXB1ZF
Invoice Number Invoice Date IGST Paid(INR)
109  2017-12-06  4158 </t>
  </si>
  <si>
    <t xml:space="preserve">AWB No. Gateway Port Gateway EGM No. Gateway EGM Date Gateway Site ID Error Code
N.A.  INPAV1  140083  2017-12-05 00:00:00.0  INPAV1  S </t>
  </si>
  <si>
    <t xml:space="preserve">IEC CHA No. Job No. Job Date Port of Discharge Total Package Gross Weight (Kg) FOB(INR) Total Cess (INR) Drawback STR Total (DBK+STR) CIN NO. CIN DT. Reward Flag
0504077171  AKOPK7974PCH001  7932802  07 DEC 2017 12:12  LKCMB  2100  105210  2177520  0  0  0  0  N.A.  N.A.  Click here to view item wise reward details </t>
  </si>
  <si>
    <t xml:space="preserve">Current Que LEO Date EP Copy Print Status DBK Scroll No Scroll Date EGM Integration Status
HIST  11 DEC 2017 00:12  Y  N.A.  N.A.  Y </t>
  </si>
  <si>
    <t xml:space="preserve">EGM No. EGM Date Container No. Seal No. Error Message
R367181212  2017-12-12 0.0.0.0  DFSU2493229  004598  N.A. </t>
  </si>
  <si>
    <t xml:space="preserve">GSTIN    -    06AXXXXXXXXB1ZF
Invoice Number Invoice Date IGST Paid(INR)
110  2017-12-07  4158 </t>
  </si>
  <si>
    <t>2017/12/11</t>
  </si>
  <si>
    <t xml:space="preserve">IEC CHA No. Job No. Job Date Port of Discharge Total Package Gross Weight (Kg) FOB(INR) Total Cess (INR) Drawback STR Total (DBK+STR) CIN NO. CIN DT. Reward Flag
0501016481  AABCT4959MCH001  7991212  11 DEC 2017 12:12  ESBCN  29  505  918586.89  0  1744  0  1744  N.A.  N.A.  Click here to view item wise reward details </t>
  </si>
  <si>
    <t xml:space="preserve">Current Que LEO Date EP Copy Print Status DBK Scroll No Scroll Date EGM Integration Status
HIST  18 DEC 2017 00:12  Y  23237/2017  29 DEC 2017 00:12  Y </t>
  </si>
  <si>
    <t xml:space="preserve">EGM No. EGM Date Container No. Seal No. Error Message
T587862312  2017-12-23 0.0.0.0  DFSU6923539  414871  N.A. </t>
  </si>
  <si>
    <t xml:space="preserve">GSTIN    -    07AXXXXXXXXF1ZH
Invoice Number Invoice Date IGST Paid(INR)
XXXXXXXXXXXXXX7-1  2017-11-28  20224 </t>
  </si>
  <si>
    <t xml:space="preserve">AWB No. Gateway Port Gateway EGM No. Gateway EGM Date Gateway Site ID Error Code
N.A.  INNSA1  140677  2017-12-14 00:00:00.0  INNSA1  S </t>
  </si>
  <si>
    <t xml:space="preserve">IEC CHA No. Job No. Job Date Port of Discharge Total Package Gross Weight (Kg) FOB(INR) Total Cess (INR) Drawback STR Total (DBK+STR) CIN NO. CIN DT. Reward Flag
0514025026  ARPPK3328RCH001  7993460  11 DEC 2017 12:12  BDCGP  10  344  63700  0  1274  0  1274  N.A.  N.A.  Click here to view item wise reward details </t>
  </si>
  <si>
    <t xml:space="preserve">Current Que LEO Date EP Copy Print Status DBK Scroll No Scroll Date EGM Integration Status
HIST  13 DEC 2017 00:12  Y  23237/2017  29 DEC 2017 00:12  Y </t>
  </si>
  <si>
    <t xml:space="preserve">EGM No. EGM Date Container No. Seal No. Error Message
T587862312  2017-12-23 0.0.0.0  HDMU6838625  414844  N.A. </t>
  </si>
  <si>
    <t xml:space="preserve">GSTIN    -    07AXXXXXXXXF1ZR
Invoice Number Invoice Date IGST Paid(INR)
XXXXXXXXXXXX153  2017-12-08  11466 </t>
  </si>
  <si>
    <t xml:space="preserve">AWB No. Gateway Port Gateway EGM No. Gateway EGM Date Gateway Site ID Error Code
N.A.  INNSA1  140365  2017-12-08 00:00:00.0  INNSA1  N </t>
  </si>
  <si>
    <t xml:space="preserve">IEC CHA No. Job No. Job Date Port of Discharge Total Package Gross Weight (Kg) FOB(INR) Total Cess (INR) Drawback STR Total (DBK+STR) CIN NO. CIN DT. Reward Flag
0598059113  AASPK9028QCH001  7994500  11 DEC 2017 12:12  AEJEA  845  10250  1384583.2  0  27692  0  27692  N.A.  N.A.  Click here to view item wise reward details </t>
  </si>
  <si>
    <t xml:space="preserve">Current Que LEO Date EP Copy Print Status DBK Scroll No Scroll Date EGM Integration Status
HIST  15 DEC 2017 00:12  Y  23143/2017  22 DEC 2017 00:12  Y </t>
  </si>
  <si>
    <t xml:space="preserve">EGM No. EGM Date Container No. Seal No. Error Message
T437141912  2017-12-19 0.0.0.0  HDMU2556351  414180  N.A. </t>
  </si>
  <si>
    <t xml:space="preserve">GSTIN    -    07AXXXXXXXXL1ZI
Invoice Number Invoice Date IGST Paid(INR)
XXXXXXXXXXXX/35  2017-12-11  166646 </t>
  </si>
  <si>
    <t xml:space="preserve">AWB No. Gateway Port Gateway EGM No. Gateway EGM Date Gateway Site ID Error Code
N.A.  INMUN1  141077  2017-12-21 00:00:00.0  INMUN1  S </t>
  </si>
  <si>
    <t xml:space="preserve">IEC CHA No. Job No. Job Date Port of Discharge Total Package Gross Weight (Kg) FOB(INR) Total Cess (INR) Drawback STR Total (DBK+STR) CIN NO. CIN DT. Reward Flag
0500050139  AACFL6638BCH001  7996260  11 DEC 2017 12:12  USSVQ  837  3013  1225222.36  0  0  0  0  N.A.  N.A.  Click here to view item wise reward details </t>
  </si>
  <si>
    <t xml:space="preserve">Current Que LEO Date EP Copy Print Status DBK Scroll No Scroll Date EGM Integration Status
HIST  13 DEC 2017 00:12  Y  N.A.  N.A.  Y </t>
  </si>
  <si>
    <t xml:space="preserve">EGM No. EGM Date Container No. Seal No. Error Message
R707601512  2017-12-15 0.0.0.0  MSKU2961609  413471  N.A. </t>
  </si>
  <si>
    <t xml:space="preserve">GSTIN    -    07AXXXXXXXXF1ZU
Invoice Number Invoice Date IGST Paid(INR)
XXXXXXX068  2017-12-04  147025 </t>
  </si>
  <si>
    <t xml:space="preserve">AWB No. Gateway Port Gateway EGM No. Gateway EGM Date Gateway Site ID Error Code
N.A.  INPAV1  139966  2017-12-04 00:00:00.0  INPAV1  S </t>
  </si>
  <si>
    <t xml:space="preserve">IEC CHA No. Job No. Job Date Port of Discharge Total Package Gross Weight (Kg) FOB(INR) Total Cess (INR) Drawback STR Total (DBK+STR) CIN NO. CIN DT. Reward Flag
0593033043  AACFT3186ACH001  7999808  11 DEC 2017 12:12  MUPLU  78  1541  372527.7  0  0  0  0  N.A.  N.A.  Click here to view item wise reward details </t>
  </si>
  <si>
    <t xml:space="preserve">Current Que LEO Date EP Copy Print Status DBK Scroll No Scroll Date EGM Integration Status
HIST  15 DEC 2017 00:12  Y  N.A.  N.A.  Y </t>
  </si>
  <si>
    <t xml:space="preserve">EGM No. EGM Date Container No. Seal No. Error Message
T1007642212  2017-12-22 0.0.0.0  TEMU2032450  414817  N.A. </t>
  </si>
  <si>
    <t xml:space="preserve">GSTIN    -    07AXXXXXXXXC1Z5
Invoice Number Invoice Date IGST Paid(INR)
XXXXXXX/17  2017-12-05  33903 </t>
  </si>
  <si>
    <t xml:space="preserve">AWB No. Gateway Port Gateway EGM No. Gateway EGM Date Gateway Site ID Error Code
N.A.  INMUN1  141426  2017-12-27 00:00:00.0  INMUN1  S </t>
  </si>
  <si>
    <t>2017/12/12</t>
  </si>
  <si>
    <t xml:space="preserve">IEC CHA No. Job No. Job Date Port of Discharge Total Package Gross Weight (Kg) FOB(INR) Total Cess (INR) Drawback STR Total (DBK+STR) CIN NO. CIN DT. Reward Flag
0504077171  AKOPK7974PCH001  8012908  12 DEC 2017 12:12  LKCMB  2100  105210  2685592  0  0  0  0  N.A.  N.A.  Click here to view item wise reward details </t>
  </si>
  <si>
    <t xml:space="preserve">Current Que LEO Date EP Copy Print Status DBK Scroll No Scroll Date EGM Integration Status
HIST  14 DEC 2017 00:12  Y  N.A.  N.A.  Y </t>
  </si>
  <si>
    <t xml:space="preserve">EGM No. EGM Date Container No. Seal No. Error Message
R1577902412  2017-12-24 0.0.0.0  CNSU2048548  004601  N.A. </t>
  </si>
  <si>
    <t xml:space="preserve">GSTIN    -    06AXXXXXXXXB1ZF
Invoice Number Invoice Date IGST Paid(INR)
111  2017-12-11  4158 </t>
  </si>
  <si>
    <t xml:space="preserve">AWB No. Gateway Port Gateway EGM No. Gateway EGM Date Gateway Site ID Error Code
N.A.  INPAV1  140831  2017-12-18 00:00:00.0  INPAV1  S </t>
  </si>
  <si>
    <t xml:space="preserve">IEC CHA No. Job No. Job Date Port of Discharge Total Package Gross Weight (Kg) FOB(INR) Total Cess (INR) Drawback STR Total (DBK+STR) CIN NO. CIN DT. Reward Flag
0595008844  ADFFS3281FCH001  8013530  12 DEC 2017 12:12  AEJEA  467  7322.56  1608475.96  0  24127  0  24127  N.A.  N.A.  Click here to view item wise reward details </t>
  </si>
  <si>
    <t xml:space="preserve">Current Que LEO Date EP Copy Print Status DBK Scroll No Scroll Date EGM Integration Status
HIST  13 DEC 2017 00:12  Y  23835/2018  15 FEB 2018 00:02  Y </t>
  </si>
  <si>
    <t xml:space="preserve">EGM No. EGM Date Container No. Seal No. Error Message
R817941712  2017-12-17 0.0.0.0  HJMU1409260  413957  N.A. </t>
  </si>
  <si>
    <t xml:space="preserve">GSTIN    -    06AXXXXXXXXE1ZT
Invoice Number Invoice Date IGST Paid(INR)
XXXXX-18  2017-12-11  298404 </t>
  </si>
  <si>
    <t xml:space="preserve">AWB No. Gateway Port Gateway EGM No. Gateway EGM Date Gateway Site ID Error Code
N.A.  INMUN1  140930  2017-12-19 00:00:00.0  INMUN1  S </t>
  </si>
  <si>
    <t xml:space="preserve">IEC CHA No. Job No. Job Date Port of Discharge Total Package Gross Weight (Kg) FOB(INR) Total Cess (INR) Drawback STR Total (DBK+STR) CIN NO. CIN DT. Reward Flag
0505075172  AACCP0287DCH001  8013940  12 DEC 2017 12:12  BDCGP  1  206  1039584  0  20792  0  20792  N.A.  N.A.  Click here to view item wise reward details </t>
  </si>
  <si>
    <t xml:space="preserve">Current Que LEO Date EP Copy Print Status DBK Scroll No Scroll Date EGM Integration Status
HIST  19 DEC 2017 00:12  Y  23237/2017  29 DEC 2017 00:12  Y </t>
  </si>
  <si>
    <t xml:space="preserve">GSTIN    -    06AXXXXXXXXK1ZF
Invoice Number Invoice Date IGST Paid(INR)
XXXXXXXXXXX340  2017-12-07  189189 </t>
  </si>
  <si>
    <t>2017/12/13</t>
  </si>
  <si>
    <t xml:space="preserve">IEC CHA No. Job No. Job Date Port of Discharge Total Package Gross Weight (Kg) FOB(INR) Total Cess (INR) Drawback STR Total (DBK+STR) CIN NO. CIN DT. Reward Flag
0515934062  FHMPS1058ECH001  8036399  13 DEC 2017 12:12  FRLEH  281  5718  4318672.85  0  64483  0  64483  N.A.  N.A.  Click here to view item wise reward details </t>
  </si>
  <si>
    <t xml:space="preserve">Current Que LEO Date EP Copy Print Status DBK Scroll No Scroll Date EGM Integration Status
HIST  15 DEC 2017 00:12  Y  24082/2018  28 FEB 2018 00:02  Y </t>
  </si>
  <si>
    <t xml:space="preserve">EGM No. EGM Date Container No. Seal No. Error Message
TX227101812  2017-12-18 0.0.0.0  CRSU1134340  414192  N.A. </t>
  </si>
  <si>
    <t xml:space="preserve">GSTIN    -    07AXXXXXXXXM1ZF
Invoice Number Invoice Date IGST Paid(INR)
XXXXXXX-18  2017-12-07  3906 </t>
  </si>
  <si>
    <t xml:space="preserve">IEC CHA No. Job No. Job Date Port of Discharge Total Package Gross Weight (Kg) FOB(INR) Total Cess (INR) Drawback STR Total (DBK+STR) CIN NO. CIN DT. Reward Flag
0508028078  AAECB3928MCH001  8039774  13 DEC 2017 12:12  FRFOS  5  880  574997.7  0  11500  0  11500  N.A.  N.A.  Click here to view item wise reward details </t>
  </si>
  <si>
    <t xml:space="preserve">Current Que LEO Date EP Copy Print Status DBK Scroll No Scroll Date EGM Integration Status
HIST  14 DEC 2017 00:12  Y  23143/2017  22 DEC 2017 00:12  Y </t>
  </si>
  <si>
    <t xml:space="preserve">EGM No. EGM Date Container No. Seal No. Error Message
R637981712  2017-12-17 0.0.0.0  SLSU6170854  414243  N.A. </t>
  </si>
  <si>
    <t xml:space="preserve">GSTIN    -    06AXXXXXXXXD1Z2
Invoice Number Invoice Date IGST Paid(INR)
XXXXXXXXXX933  2017-12-07  160999 </t>
  </si>
  <si>
    <t xml:space="preserve">IEC CHA No. Job No. Job Date Port of Discharge Total Package Gross Weight (Kg) FOB(INR) Total Cess (INR) Drawback STR Total (DBK+STR) CIN NO. CIN DT. Reward Flag
0504011057  AFBPM9459DCH001  8049444  13 DEC 2017 12:12  TJDYU  1410  20200  4751183.62  0  71268  0  71268  N.A.  N.A.  Click here to view item wise reward details </t>
  </si>
  <si>
    <t xml:space="preserve">EGM No. EGM Date Container No. Seal No. Error Message
TX227101812  2017-12-18 0.0.0.0  GRMU4200556  414416  N.A. </t>
  </si>
  <si>
    <t xml:space="preserve">GSTIN    -    07AXXXXXXXXE1ZD
Invoice Number Invoice Date IGST Paid(INR)
XXXXXXXXXXX018  2017-12-05  118001 </t>
  </si>
  <si>
    <t xml:space="preserve">AWB No. Gateway Port Gateway EGM No. Gateway EGM Date Gateway Site ID Error Code
N.A.  INMUN1  140931  2017-12-19 00:00:00.0  INMUN1  S </t>
  </si>
  <si>
    <t xml:space="preserve">IEC CHA No. Job No. Job Date Port of Discharge Total Package Gross Weight (Kg) FOB(INR) Total Cess (INR) Drawback STR Total (DBK+STR) CIN NO. CIN DT. Reward Flag
1306014115  AAAFA8105CCH001  8051412  13 DEC 2017 12:12  GNCKY  1528  16576  3502863  0  70057  0  70057  N.A.  N.A.  Click here to view item wise reward details </t>
  </si>
  <si>
    <t xml:space="preserve">Current Que LEO Date EP Copy Print Status DBK Scroll No Scroll Date EGM Integration Status
HIST  16 DEC 2017 00:12  Y  23143/2017  22 DEC 2017 00:12  Y </t>
  </si>
  <si>
    <t xml:space="preserve">EGM No. EGM Date Container No. Seal No. Error Message
R817941712  2017-12-17 0.0.0.0  MRKU8243150  000244  N.A. </t>
  </si>
  <si>
    <t xml:space="preserve">GSTIN    -    08AXXXXXXXXA1ZW
Invoice Number Invoice Date IGST Paid(INR)
XXXXXXXXXXX-18  2017-12-12  3220 </t>
  </si>
  <si>
    <t>2017/12/14</t>
  </si>
  <si>
    <t xml:space="preserve">IEC CHA No. Job No. Job Date Port of Discharge Total Package Gross Weight (Kg) FOB(INR) Total Cess (INR) Drawback STR Total (DBK+STR) CIN NO. CIN DT. Reward Flag
3104003254  AAACA3307KCH003  8075620  14 DEC 2017 12:12  USSTL  1  190  195653  0  3913  0  3913  N.A.  N.A.  Click here to view item wise reward details </t>
  </si>
  <si>
    <t xml:space="preserve">EGM No. EGM Date Container No. Seal No. Error Message
T1007642212  2017-12-22 0.0.0.0  DRYU9457048  414824  N.A. </t>
  </si>
  <si>
    <t xml:space="preserve">GSTIN    -    27AXXXXXXXXR1ZF
Invoice Number Invoice Date IGST Paid(INR)
XXXXXXXXXXXXXX718  2017-12-06  8950 </t>
  </si>
  <si>
    <t xml:space="preserve">IEC CHA No. Job No. Job Date Port of Discharge Total Package Gross Weight (Kg) FOB(INR) Total Cess (INR) Drawback STR Total (DBK+STR) CIN NO. CIN DT. Reward Flag
0504077171  AKOPK7974PCH001  8076740  14 DEC 2017 12:12  LKCMB  2100  105210  2150512  0  0  0  0  N.A.  N.A.  Click here to view item wise reward details </t>
  </si>
  <si>
    <t xml:space="preserve">Current Que LEO Date EP Copy Print Status DBK Scroll No Scroll Date EGM Integration Status
HIST  18 DEC 2017 00:12  Y  N.A.  N.A.  Y </t>
  </si>
  <si>
    <t xml:space="preserve">EGM No. EGM Date Container No. Seal No. Error Message
R567382012  2017-12-20 0.0.0.0  NYKU3824353  413896  N.A. </t>
  </si>
  <si>
    <t xml:space="preserve">GSTIN    -    06AXXXXXXXXB1ZF
Invoice Number Invoice Date IGST Paid(INR)
112  2017-12-13  4158 </t>
  </si>
  <si>
    <t xml:space="preserve">IEC CHA No. Job No. Job Date Port of Discharge Total Package Gross Weight (Kg) FOB(INR) Total Cess (INR) Drawback STR Total (DBK+STR) CIN NO. CIN DT. Reward Flag
0500050139  AACFL6638BCH001  8080739  14 DEC 2017 12:12  KRBUS  1271  9104  2559455.81  0  0  0  0  N.A.  N.A.  Click here to view item wise reward details </t>
  </si>
  <si>
    <t xml:space="preserve">EGM No. EGM Date Container No. Seal No. Error Message
R27741512  2017-12-15 0.0.0.0  OOLU9658411  413874  N.A. </t>
  </si>
  <si>
    <t xml:space="preserve">GSTIN    -    07AXXXXXXXXF1ZU
Invoice Number Invoice Date IGST Paid(INR)
XXXXXXX069  2017-12-11  307129 </t>
  </si>
  <si>
    <t xml:space="preserve">AWB No. Gateway Port Gateway EGM No. Gateway EGM Date Gateway Site ID Error Code
N.A.  INNSA1  138758  2017-11-14 00:00:00.0  INNSA1  S </t>
  </si>
  <si>
    <t>2017/12/15</t>
  </si>
  <si>
    <t xml:space="preserve">IEC CHA No. Job No. Job Date Port of Discharge Total Package Gross Weight (Kg) FOB(INR) Total Cess (INR) Drawback STR Total (DBK+STR) CIN NO. CIN DT. Reward Flag
0713000201  AADCA0273BCH001  8096438  15 DEC 2017 12:12  USNWK  207  3254.2  652493.11  0  0  0  0  N.A.  N.A.  Click here to view item wise reward details </t>
  </si>
  <si>
    <t xml:space="preserve">Current Que LEO Date EP Copy Print Status DBK Scroll No Scroll Date EGM Integration Status
HIST  19 DEC 2017 00:12  Y  N.A.  N.A.  Y </t>
  </si>
  <si>
    <t xml:space="preserve">EGM No. EGM Date Container No. Seal No. Error Message
T587862312  2017-12-23 0.0.0.0  TGHU5214511  414880  N.A. </t>
  </si>
  <si>
    <t xml:space="preserve">GSTIN    -    29AXXXXXXXXJ1Z5
Invoice Number Invoice Date IGST Paid(INR)
XXXXXXXXXXX017  2017-11-17  74410 </t>
  </si>
  <si>
    <t xml:space="preserve">IEC CHA No. Job No. Job Date Port of Discharge Total Package Gross Weight (Kg) FOB(INR) Total Cess (INR) Drawback STR Total (DBK+STR) CIN NO. CIN DT. Reward Flag
0589053850  AVAPS6694RCH001  8098741  15 DEC 2017 12:12  AEJEA  6  3418  379053.22  0  7581  0  7581  N.A.  N.A.  Click here to view item wise reward details </t>
  </si>
  <si>
    <t xml:space="preserve">EGM No. EGM Date Container No. Seal No. Error Message
T587862312  2017-12-23 0.0.0.0  INLU2203114  414865  N.A. </t>
  </si>
  <si>
    <t xml:space="preserve">GSTIN    -    06AXXXXXXXXM1ZZ
Invoice Number Invoice Date IGST Paid(INR)
070  2017-12-07  69371 </t>
  </si>
  <si>
    <t xml:space="preserve">AWB No. Gateway Port Gateway EGM No. Gateway EGM Date Gateway Site ID Error Code
N.A.  INNSA1  140487  2017-12-12 00:00:00.0  INNSA1  S </t>
  </si>
  <si>
    <t xml:space="preserve">IEC CHA No. Job No. Job Date Port of Discharge Total Package Gross Weight (Kg) FOB(INR) Total Cess (INR) Drawback STR Total (DBK+STR) CIN NO. CIN DT. Reward Flag
0516526065  AADCA0273BCH001  8110740  15 DEC 2017 12:12  USDAL  238  2224.73  374313.94  0  7096  0  7096  N.A.  N.A.  Click here to view item wise reward details </t>
  </si>
  <si>
    <t xml:space="preserve">Current Que LEO Date EP Copy Print Status DBK Scroll No Scroll Date EGM Integration Status
HIST  20 DEC 2017 00:12  Y  23414/2018  12 JAN 2018 00:01  Y </t>
  </si>
  <si>
    <t xml:space="preserve">EGM No. EGM Date Container No. Seal No. Error Message
R1977520401  2018-1-4 0.0.0.0  MRKU6416473  415872  N.A. </t>
  </si>
  <si>
    <t xml:space="preserve">GSTIN    -    07DXXXXXXXXL1ZP
Invoice Number Invoice Date IGST Paid(INR)
XXXXXXXXXXXX-18  2017-12-15  79128 </t>
  </si>
  <si>
    <t xml:space="preserve">AWB No. Gateway Port Gateway EGM No. Gateway EGM Date Gateway Site ID Error Code
N.A.  INNSA1  140586  2017-12-12 00:00:00.0  INNSA1  S </t>
  </si>
  <si>
    <t xml:space="preserve">IEC CHA No. Job No. Job Date Port of Discharge Total Package Gross Weight (Kg) FOB(INR) Total Cess (INR) Drawback STR Total (DBK+STR) CIN NO. CIN DT. Reward Flag
3011014116  ABSPN4101ECH001  8111183  15 DEC 2017 12:12  USDAL  74  1118  489056.75  0  7336  0  7336  N.A.  N.A.  Click here to view item wise reward details </t>
  </si>
  <si>
    <t xml:space="preserve">Current Que LEO Date EP Copy Print Status DBK Scroll No Scroll Date EGM Integration Status
HIST  20 DEC 2017 00:12  Y  23237/2017  29 DEC 2017 00:12  Y </t>
  </si>
  <si>
    <t xml:space="preserve">EGM No. EGM Date Container No. Seal No. Error Message
T587862312  2017-12-23 0.0.0.0  INKU2342576  414883  N.A. </t>
  </si>
  <si>
    <t xml:space="preserve">GSTIN    -    03AXXXXXXXXE1ZC
Invoice Number Invoice Date IGST Paid(INR)
E53  2017-12-14  88028 </t>
  </si>
  <si>
    <t xml:space="preserve">AWB No. Gateway Port Gateway EGM No. Gateway EGM Date Gateway Site ID Error Code
N.A.  INNSA1  140402  2017-12-11 00:00:00.0  INNSA1  S </t>
  </si>
  <si>
    <t>2017/12/18</t>
  </si>
  <si>
    <t xml:space="preserve">IEC CHA No. Job No. Job Date Port of Discharge Total Package Gross Weight (Kg) FOB(INR) Total Cess (INR) Drawback STR Total (DBK+STR) CIN NO. CIN DT. Reward Flag
0504077171  AKOPK7974PCH001  8143267  18 DEC 2017 12:12  LKCMB  2100  105210  2150512  0  0  0  0  N.A.  N.A.  Click here to view item wise reward details </t>
  </si>
  <si>
    <t xml:space="preserve">Current Que LEO Date EP Copy Print Status DBK Scroll No Scroll Date EGM Integration Status
HIST  21 DEC 2017 00:12  Y  N.A.  N.A.  Y </t>
  </si>
  <si>
    <t xml:space="preserve">EGM No. EGM Date Container No. Seal No. Error Message
R1577902412  2017-12-24 0.0.0.0  TCKU3848465  414969  N.A. </t>
  </si>
  <si>
    <t xml:space="preserve">GSTIN    -    06AXXXXXXXXB1ZF
Invoice Number Invoice Date IGST Paid(INR)
113  2017-12-15  3753 </t>
  </si>
  <si>
    <t xml:space="preserve">IEC CHA No. Job No. Job Date Port of Discharge Total Package Gross Weight (Kg) FOB(INR) Total Cess (INR) Drawback STR Total (DBK+STR) CIN NO. CIN DT. Reward Flag
0593052561  AAJPK0196LCH001  8148460  18 DEC 2017 12:12  ITGOA  1  11.65  17784.36  0  0  0  0  N.A.  N.A.  Click here to view item wise reward details </t>
  </si>
  <si>
    <t xml:space="preserve">Current Que LEO Date EP Copy Print Status DBK Scroll No Scroll Date EGM Integration Status
HIST  27 DEC 2017 00:12  Y  N.A.  N.A.  Y </t>
  </si>
  <si>
    <t xml:space="preserve">EGM No. EGM Date Container No. Seal No. Error Message
T257700501  2018-1-5 0.0.0.0  FSCU8047472  415882  N.A. </t>
  </si>
  <si>
    <t xml:space="preserve">GSTIN    -    08AXXXXXXXXA1Z5
Invoice Number Invoice Date IGST Paid(INR)
X090  2017-10-31  2598 </t>
  </si>
  <si>
    <t xml:space="preserve">AWB No. Gateway Port Gateway EGM No. Gateway EGM Date Gateway Site ID Error Code
N.A.  INNSA1  141463  2017-12-27 00:00:00.0  INNSA1  S </t>
  </si>
  <si>
    <t xml:space="preserve">IEC CHA No. Job No. Job Date Port of Discharge Total Package Gross Weight (Kg) FOB(INR) Total Cess (INR) Drawback STR Total (DBK+STR) CIN NO. CIN DT. Reward Flag
0389025364  AAJCA1821BCH001  8150914  18 DEC 2017 12:12  IRBND  2  4881.8  138632.22  0  2773  0  2773  N.A.  N.A.  Click here to view item wise reward details </t>
  </si>
  <si>
    <t xml:space="preserve">Current Que LEO Date EP Copy Print Status DBK Scroll No Scroll Date EGM Integration Status
HIST  23 DEC 2017 00:12  Y  23328/2018  05 JAN 2018 00:01  Y </t>
  </si>
  <si>
    <t xml:space="preserve">EGM No. EGM Date Container No. Seal No. Error Message
R557963112  2017-12-31 0.0.0.0  AMFU8791180  415489  N.A. </t>
  </si>
  <si>
    <t xml:space="preserve">GSTIN    -    27AXXXXXXXXG1ZZ
Invoice Number Invoice Date IGST Paid(INR)
XXXXXXXXXXXXXX-18  2017-11-30  67946 </t>
  </si>
  <si>
    <t xml:space="preserve">AWB No. Gateway Port Gateway EGM No. Gateway EGM Date Gateway Site ID Error Code
N.A.  INMUN1  141297  2017-12-26 00:00:00.0  INMUN1  S </t>
  </si>
  <si>
    <t xml:space="preserve">IEC CHA No. Job No. Job Date Port of Discharge Total Package Gross Weight (Kg) FOB(INR) Total Cess (INR) Drawback STR Total (DBK+STR) CIN NO. CIN DT. Reward Flag
0505000873  AOWPS6493KCH001  8157051  18 DEC 2017 12:12  MYPKG  4  3005.7  912916.55  0  18258  0  18258  N.A.  N.A.  Click here to view item wise reward details </t>
  </si>
  <si>
    <t xml:space="preserve">EGM No. EGM Date Container No. Seal No. Error Message
R1267142512  2017-12-25 0.0.0.0  BSIU2789699  414845  N.A. </t>
  </si>
  <si>
    <t xml:space="preserve">GSTIN    -    07AXXXXXXXXB1ZS
Invoice Number Invoice Date IGST Paid(INR)
XXXXXXX017  2017-12-08  89111 </t>
  </si>
  <si>
    <t xml:space="preserve">AWB No. Gateway Port Gateway EGM No. Gateway EGM Date Gateway Site ID Error Code
N.A.  INNSA1  141039  2017-12-20 00:00:00.0  INNSA1  S </t>
  </si>
  <si>
    <t xml:space="preserve">IEC CHA No. Job No. Job Date Port of Discharge Total Package Gross Weight (Kg) FOB(INR) Total Cess (INR) Drawback STR Total (DBK+STR) CIN NO. CIN DT. Reward Flag
0505000873  AOWPS6493KCH001  8157068  18 DEC 2017 12:12  MYPKG  3  1102.11  475953.66  0  9234  0  9234  N.A.  N.A.  Click here to view item wise reward details </t>
  </si>
  <si>
    <t xml:space="preserve">Current Que LEO Date EP Copy Print Status DBK Scroll No Scroll Date EGM Integration Status
HIST  21 DEC 2017 00:12  Y  23237/2017  29 DEC 2017 00:12  Y </t>
  </si>
  <si>
    <t xml:space="preserve">GSTIN    -    07AXXXXXXXXB1ZS
Invoice Number Invoice Date IGST Paid(INR)
XXXXXXX017  2017-12-15  65112 </t>
  </si>
  <si>
    <t xml:space="preserve">IEC CHA No. Job No. Job Date Port of Discharge Total Package Gross Weight (Kg) FOB(INR) Total Cess (INR) Drawback STR Total (DBK+STR) CIN NO. CIN DT. Reward Flag
0589036734  AEOPA9390KCH001  8165862  18 DEC 2017 12:12  DKCOP  2  482.59  527244.9  0  10526  0  10526  N.A.  N.A.  Click here to view item wise reward details </t>
  </si>
  <si>
    <t xml:space="preserve">EGM No. EGM Date Container No. Seal No. Error Message
T587862312  2017-12-23 0.0.0.0  CRXU9950466  414877  N.A. </t>
  </si>
  <si>
    <t xml:space="preserve">GSTIN    -    02AXXXXXXXXK1ZJ
Invoice Number Invoice Date IGST Paid(INR)
XXXXXXXXXXXXXX-18  2017-12-16  94893 </t>
  </si>
  <si>
    <t xml:space="preserve">AWB No. Gateway Port Gateway EGM No. Gateway EGM Date Gateway Site ID Error Code
N.A.  INNSA1  141083  2017-12-21 00:00:00.0  INNSA1  C </t>
  </si>
  <si>
    <t>2017/12/19</t>
  </si>
  <si>
    <t xml:space="preserve">IEC CHA No. Job No. Job Date Port of Discharge Total Package Gross Weight (Kg) FOB(INR) Total Cess (INR) Drawback STR Total (DBK+STR) CIN NO. CIN DT. Reward Flag
0500050139  AACFL6638BCH001  8194502  19 DEC 2017 12:12  JPTYO  440  4319  1115259.6  0  0  0  0  N.A.  N.A.  Click here to view item wise reward details </t>
  </si>
  <si>
    <t xml:space="preserve">Current Que LEO Date EP Copy Print Status DBK Scroll No Scroll Date EGM Integration Status
HIST  20 DEC 2017 00:12  Y  N.A.  N.A.  Y </t>
  </si>
  <si>
    <t xml:space="preserve">EGM No. EGM Date Container No. Seal No. Error Message
R947522112  2017-12-21 0.0.0.0  TCLU3403667  414754  N.A. </t>
  </si>
  <si>
    <t xml:space="preserve">GSTIN    -    07AXXXXXXXXF1ZU
Invoice Number Invoice Date IGST Paid(INR)
XXXXXXX070  2017-12-14  133827 </t>
  </si>
  <si>
    <t xml:space="preserve">AWB No. Gateway Port Gateway EGM No. Gateway EGM Date Gateway Site ID Error Code
N.A.  INNSA1  140724  2017-12-15 00:00:00.0  INNSA1  S </t>
  </si>
  <si>
    <t>2017/12/20</t>
  </si>
  <si>
    <t xml:space="preserve">IEC CHA No. Job No. Job Date Port of Discharge Total Package Gross Weight (Kg) FOB(INR) Total Cess (INR) Drawback STR Total (DBK+STR) CIN NO. CIN DT. Reward Flag
0504077171  AKOPK7974PCH001  8205883  20 DEC 2017 12:12  LKCMB  2100  105210  2150512  0  0  0  0  N.A.  N.A.  Click here to view item wise reward details </t>
  </si>
  <si>
    <t xml:space="preserve">Current Que LEO Date EP Copy Print Status DBK Scroll No Scroll Date EGM Integration Status
HIST  22 DEC 2017 00:12  Y  N.A.  N.A.  Y </t>
  </si>
  <si>
    <t xml:space="preserve">EGM No. EGM Date Container No. Seal No. Error Message
J247462712  2017-12-27 0.0.0.0  TCKU3164098  415087  N.A. </t>
  </si>
  <si>
    <t xml:space="preserve">GSTIN    -    06AXXXXXXXXB1ZF
Invoice Number Invoice Date IGST Paid(INR)
114  2017-12-18  3753 </t>
  </si>
  <si>
    <t xml:space="preserve">IEC CHA No. Job No. Job Date Port of Discharge Total Package Gross Weight (Kg) FOB(INR) Total Cess (INR) Drawback STR Total (DBK+STR) CIN NO. CIN DT. Reward Flag
0513013971  AFVPB8766JCH001  8207864  20 DEC 2017 12:12  AEJEA  34  522.2  142369.5  0  3275  0  3275  N.A.  N.A.  Click here to view item wise reward details </t>
  </si>
  <si>
    <t xml:space="preserve">Current Que LEO Date EP Copy Print Status DBK Scroll No Scroll Date EGM Integration Status
HIST  21 DEC 2017 00:12  Y  23328/2018  05 JAN 2018 00:01  Y </t>
  </si>
  <si>
    <t xml:space="preserve">EGM No. EGM Date Container No. Seal No. Error Message
T987020101  2018-1-1 0.0.0.0  WHLU5123143  415820  N.A. </t>
  </si>
  <si>
    <t xml:space="preserve">GSTIN    -    07AXXXXXXXXB1ZE
Invoice Number Invoice Date IGST Paid(INR)
XXXMA8  2017-12-12  17084 </t>
  </si>
  <si>
    <t xml:space="preserve">AWB No. Gateway Port Gateway EGM No. Gateway EGM Date Gateway Site ID Error Code
N.A.  INNSA1  141344  2017-12-26 00:00:00.0  INNSA1  C </t>
  </si>
  <si>
    <t xml:space="preserve">IEC CHA No. Job No. Job Date Port of Discharge Total Package Gross Weight (Kg) FOB(INR) Total Cess (INR) Drawback STR Total (DBK+STR) CIN NO. CIN DT. Reward Flag
3393002155  AAACU5306LCH002  8208365  20 DEC 2017 12:12  USNYC  1  316.67  282063.6  0  1374  0  1374  N.A.  N.A.  Click here to view item wise reward details </t>
  </si>
  <si>
    <t xml:space="preserve">Current Que LEO Date EP Copy Print Status DBK Scroll No Scroll Date EGM Integration Status
HIST  22 DEC 2017 00:12  Y  23328/2018  05 JAN 2018 00:01  Y </t>
  </si>
  <si>
    <t xml:space="preserve">EGM No. EGM Date Container No. Seal No. Error Message
R627622812  2017-12-28 0.0.0.0  TCNU6391417  415420  N.A. </t>
  </si>
  <si>
    <t xml:space="preserve">GSTIN    -    06AXXXXXXXXC2Z2
Invoice Number Invoice Date IGST Paid(INR)
XXXXX028  2017-12-14  50771448 </t>
  </si>
  <si>
    <t xml:space="preserve">AWB No. Gateway Port Gateway EGM No. Gateway EGM Date Gateway Site ID Error Code
N.A.  INMUN1  141756  2018-01-02 00:00:00.0  INMUN1  S </t>
  </si>
  <si>
    <t xml:space="preserve">IEC CHA No. Job No. Job Date Port of Discharge Total Package Gross Weight (Kg) FOB(INR) Total Cess (INR) Drawback STR Total (DBK+STR) CIN NO. CIN DT. Reward Flag
0510006329  AEAPD9155RCH001  8210702  20 DEC 2017 12:12  LKCMB  15  631.4  99754.2  0  0  0  0  N.A.  N.A.  Click here to view item wise reward details </t>
  </si>
  <si>
    <t xml:space="preserve">GSTIN    -    06AXXXXXXXXJ1ZI
Invoice Number Invoice Date IGST Paid(INR)
XXXXXXXXXXXXX762  2017-12-16  11970 </t>
  </si>
  <si>
    <t xml:space="preserve">IEC CHA No. Job No. Job Date Port of Discharge Total Package Gross Weight (Kg) FOB(INR) Total Cess (INR) Drawback STR Total (DBK+STR) CIN NO. CIN DT. Reward Flag
0507018591  AAJCA1821BCH001  8220180  20 DEC 2017 12:12  CNSHA  115  1500  504504  0  7166  0  7166  N.A.  N.A.  Click here to view item wise reward details </t>
  </si>
  <si>
    <t xml:space="preserve">Current Que LEO Date EP Copy Print Status DBK Scroll No Scroll Date EGM Integration Status
HIST  27 DEC 2017 00:12  Y  23328/2018  05 JAN 2018 00:01  Y </t>
  </si>
  <si>
    <t xml:space="preserve">EGM No. EGM Date Container No. Seal No. Error Message
R427662812  2017-12-28 0.0.0.0  TCLU3881619  415438  N.A. </t>
  </si>
  <si>
    <t xml:space="preserve">GSTIN    -    06AXXXXXXXXJ1ZK
Invoice Number Invoice Date IGST Paid(INR)
16  2017-12-20  25223 </t>
  </si>
  <si>
    <t xml:space="preserve">AWB No. Gateway Port Gateway EGM No. Gateway EGM Date Gateway Site ID Error Code
N.A.  INNSA1  141116  2017-12-21 00:00:00.0  INNSA1  S </t>
  </si>
  <si>
    <t>2017/12/21</t>
  </si>
  <si>
    <t>IEC CHA No. Job No. Job Date Port of Discharge Total Package Gross Weight (Kg) FOB(INR) Total Cess (INR) Drawback STR Total (DBK+STR) CIN NO. CIN DT. Reward Flag
No Record found</t>
  </si>
  <si>
    <t xml:space="preserve">EGM No. EGM Date Container No. Seal No. Error Message
T1007642212  2017-12-22 0.0.0.0  RFCU2268528  LYNK00542782  N.A. </t>
  </si>
  <si>
    <t xml:space="preserve">GSTIN    -    08AXXXXXXXXD1ZM
Invoice Number Invoice Date IGST Paid(INR)
XXXXXXX646  2017-12-21  471806 </t>
  </si>
  <si>
    <t xml:space="preserve">AWB No. Gateway Port Gateway EGM No. Gateway EGM Date Gateway Site ID Error Code
N.A.  INMUN1  140648  2017-12-13 00:00:00.0  INMUN1  S </t>
  </si>
  <si>
    <t xml:space="preserve">IEC CHA No. Job No. Job Date Port of Discharge Total Package Gross Weight (Kg) FOB(INR) Total Cess (INR) Drawback STR Total (DBK+STR) CIN NO. CIN DT. Reward Flag
0504077171  AKOPK7974PCH001  8235036  21 DEC 2017 12:12  LKCMB  2100  105210  2150512  0  0  0  0  N.A.  N.A.  Click here to view item wise reward details </t>
  </si>
  <si>
    <t xml:space="preserve">Current Que LEO Date EP Copy Print Status DBK Scroll No Scroll Date EGM Integration Status
HIST  26 DEC 2017 00:12  Y  N.A.  N.A.  Y </t>
  </si>
  <si>
    <t xml:space="preserve">EGM No. EGM Date Container No. Seal No. Error Message
J247462712  2017-12-27 0.0.0.0  CAIU3885876  414651  N.A. </t>
  </si>
  <si>
    <t xml:space="preserve">GSTIN    -    06AXXXXXXXXB1ZF
Invoice Number Invoice Date IGST Paid(INR)
115  2017-12-20  3753 </t>
  </si>
  <si>
    <t xml:space="preserve">IEC CHA No. Job No. Job Date Port of Discharge Total Package Gross Weight (Kg) FOB(INR) Total Cess (INR) Drawback STR Total (DBK+STR) CIN NO. CIN DT. Reward Flag
0595012647  AAACC6689ECH001  8244778  21 DEC 2017 12:12  PKKHI  2755  47663  7558071.89  0  113371  0  113371  N.A.  N.A.  Click here to view item wise reward details </t>
  </si>
  <si>
    <t xml:space="preserve">Current Que LEO Date EP Copy Print Status DBK Scroll No Scroll Date EGM Integration Status
HIST  26 DEC 2017 00:12  Y  23328/2018  05 JAN 2018 00:01  Y </t>
  </si>
  <si>
    <t xml:space="preserve">EGM No. EGM Date Container No. Seal No. Error Message
Z17883012  2017-12-30 0.0.0.0  CRSU9314842  001894  N.A. </t>
  </si>
  <si>
    <t xml:space="preserve">GSTIN    -    07AXXXXXXXXB1ZR
Invoice Number Invoice Date IGST Paid(INR)
XXXXXXXXX-18  2017-12-21  7550 </t>
  </si>
  <si>
    <t xml:space="preserve">AWB No. Gateway Port Gateway EGM No. Gateway EGM Date Gateway Site ID Error Code
N.A.  INMUN1  141078  2017-12-21 00:00:00.0  INMUN1  S </t>
  </si>
  <si>
    <t>2017/12/22</t>
  </si>
  <si>
    <t xml:space="preserve">IEC CHA No. Job No. Job Date Port of Discharge Total Package Gross Weight (Kg) FOB(INR) Total Cess (INR) Drawback STR Total (DBK+STR) CIN NO. CIN DT. Reward Flag
0589036734  AEOPA9390KCH001  8257770  22 DEC 2017 12:12  DKCOP  2  510.43  533837.76  0  10677  0  10677  N.A.  N.A.  Click here to view item wise reward details </t>
  </si>
  <si>
    <t xml:space="preserve">EGM No. EGM Date Container No. Seal No. Error Message
R987702912  2017-12-29 0.0.0.0  HASU4458235  415458  N.A. </t>
  </si>
  <si>
    <t xml:space="preserve">GSTIN    -    02AXXXXXXXXK1ZJ
Invoice Number Invoice Date IGST Paid(INR)
XXXXXXXXXXXXXX-18  2017-12-20  96086 </t>
  </si>
  <si>
    <t xml:space="preserve">AWB No. Gateway Port Gateway EGM No. Gateway EGM Date Gateway Site ID Error Code
N.A.  INMUN1  141502  2017-12-27 00:00:00.0  INMUN1  S </t>
  </si>
  <si>
    <t xml:space="preserve">EGM No. EGM Date Container No. Seal No. Error Message
R827422712  2017-12-27 0.0.0.0  TCKU3346030  LYNK00542784  N.A. </t>
  </si>
  <si>
    <t xml:space="preserve">GSTIN    -    08AXXXXXXXXD1ZM
Invoice Number Invoice Date IGST Paid(INR)
XXXXXXX649  2017-12-21  426808 
XXXXXXX650  2017-12-21  44889 </t>
  </si>
  <si>
    <t xml:space="preserve">AWB No. Gateway Port Gateway EGM No. Gateway EGM Date Gateway Site ID Error Code
N.A.  INMUN1  141142  2017-12-21 00:00:00.0  INMUN1  S </t>
  </si>
  <si>
    <t xml:space="preserve">IEC CHA No. Job No. Job Date Port of Discharge Total Package Gross Weight (Kg) FOB(INR) Total Cess (INR) Drawback STR Total (DBK+STR) CIN NO. CIN DT. Reward Flag
0503010316  AHDPK8975CCH001  8269759  22 DEC 2017 12:12  AEJEA  14  6261  2955037.34  0  44326  0  44326  N.A.  N.A.  Click here to view item wise reward details </t>
  </si>
  <si>
    <t xml:space="preserve">Current Que LEO Date EP Copy Print Status DBK Scroll No Scroll Date EGM Integration Status
HIST  28 DEC 2017 00:12  Y  24432/2018  25 MAR 2018 00:03  Y </t>
  </si>
  <si>
    <t xml:space="preserve">EGM No. EGM Date Container No. Seal No. Error Message
Z17883012  2017-12-30 0.0.0.0  HDMU2472219  415642  N.A. </t>
  </si>
  <si>
    <t xml:space="preserve">GSTIN    -    06AXXXXXXXXG1ZP
Invoice Number Invoice Date IGST Paid(INR)
XXXXXXXXXXXXX164  2017-12-20  1522 </t>
  </si>
  <si>
    <t xml:space="preserve">AWB No. Gateway Port Gateway EGM No. Gateway EGM Date Gateway Site ID Error Code
N.A.  INMUN1  141855  2018-01-03 00:00:00.0  INMUN1  S </t>
  </si>
  <si>
    <t>2017/12/23</t>
  </si>
  <si>
    <t xml:space="preserve">IEC CHA No. Job No. Job Date Port of Discharge Total Package Gross Weight (Kg) FOB(INR) Total Cess (INR) Drawback STR Total (DBK+STR) CIN NO. CIN DT. Reward Flag
0511006519  AAEFP2740ECH001  8293657  23 DEC 2017 12:12  ZAJNB  791  14631.06  3149801.42  0  62856  0  62856  N.A.  N.A.  Click here to view item wise reward details </t>
  </si>
  <si>
    <t xml:space="preserve">EGM No. EGM Date Container No. Seal No. Error Message
R827422712  2017-12-27 0.0.0.0  PONU0253154  LYNK00564451  N.A. </t>
  </si>
  <si>
    <t xml:space="preserve">GSTIN    -    06AXXXXXXXXN1ZD
Invoice Number Invoice Date IGST Paid(INR)
XXX112  2017-12-11  6208 </t>
  </si>
  <si>
    <t xml:space="preserve">AWB No. Gateway Port Gateway EGM No. Gateway EGM Date Gateway Site ID Error Code
N.A.  INMUN1  141901  2018-01-03 00:00:00.0  INMUN1  S </t>
  </si>
  <si>
    <t>2017/12/26</t>
  </si>
  <si>
    <t xml:space="preserve">IEC CHA No. Job No. Job Date Port of Discharge Total Package Gross Weight (Kg) FOB(INR) Total Cess (INR) Drawback STR Total (DBK+STR) CIN NO. CIN DT. Reward Flag
0504077171  AKOPK7974PCH001  8315926  26 DEC 2017 12:12  LKCMB  2100  105210  2133632  0  0  0  0  N.A.  N.A.  Click here to view item wise reward details </t>
  </si>
  <si>
    <t xml:space="preserve">Current Que LEO Date EP Copy Print Status DBK Scroll No Scroll Date EGM Integration Status
HIST  28 DEC 2017 00:12  Y  N.A.  N.A.  Y </t>
  </si>
  <si>
    <t xml:space="preserve">EGM No. EGM Date Container No. Seal No. Error Message
J477923112  2017-12-31 0.0.0.0  DFSU1161364  GEID00000171  N.A. </t>
  </si>
  <si>
    <t xml:space="preserve">GSTIN    -    06AXXXXXXXXB1ZF
Invoice Number Invoice Date IGST Paid(INR)
116  2017-12-25  3753 </t>
  </si>
  <si>
    <t xml:space="preserve">AWB No. Gateway Port Gateway EGM No. Gateway EGM Date Gateway Site ID Error Code
N.A.  INMUN1  142133  2018-01-08 00:00:00.0  INMUN1  S </t>
  </si>
  <si>
    <t xml:space="preserve">IEC CHA No. Job No. Job Date Port of Discharge Total Package Gross Weight (Kg) FOB(INR) Total Cess (INR) Drawback STR Total (DBK+STR) CIN NO. CIN DT. Reward Flag
0500068241  AADFT2787LCH001  8316108  26 DEC 2017 12:12  TWKEL  34  1135  2392120  0  35882  0  35882  N.A.  N.A.  Click here to view item wise reward details </t>
  </si>
  <si>
    <t xml:space="preserve">EGM No. EGM Date Container No. Seal No. Error Message
R427662812  2017-12-28 0.0.0.0  TRLU7452102  415457  N.A. </t>
  </si>
  <si>
    <t xml:space="preserve">GSTIN    -    07AXXXXXXXXK1ZR
Invoice Number Invoice Date IGST Paid(INR)
065  2017-12-23  287054 </t>
  </si>
  <si>
    <t xml:space="preserve">IEC CHA No. Job No. Job Date Port of Discharge Total Package Gross Weight (Kg) FOB(INR) Total Cess (INR) Drawback STR Total (DBK+STR) CIN NO. CIN DT. Reward Flag
0595012647  AAACC6689ECH001  8322216  26 DEC 2017 12:12  PKKHI  1185  16223  14360970  0  215415  0  215415  N.A.  N.A.  Click here to view item wise reward details </t>
  </si>
  <si>
    <t xml:space="preserve">Current Que LEO Date EP Copy Print Status DBK Scroll No Scroll Date EGM Integration Status
HIST  30 DEC 2017 00:12  Y  23414/2018  12 JAN 2018 00:01  Y </t>
  </si>
  <si>
    <t xml:space="preserve">EGM No. EGM Date Container No. Seal No. Error Message
R1667320301  2018-1-3 0.0.0.0  SEGU4806945  416065  N.A. </t>
  </si>
  <si>
    <t xml:space="preserve">GSTIN    -    07AXXXXXXXXB1ZR
Invoice Number Invoice Date IGST Paid(INR)
XXXXXXXXX-18  2017-12-22  14360 </t>
  </si>
  <si>
    <t xml:space="preserve">AWB No. Gateway Port Gateway EGM No. Gateway EGM Date Gateway Site ID Error Code
N.A.  INMUN1  141230  2017-12-22 00:00:00.0  INMUN1  S </t>
  </si>
  <si>
    <t xml:space="preserve">IEC CHA No. Job No. Job Date Port of Discharge Total Package Gross Weight (Kg) FOB(INR) Total Cess (INR) Drawback STR Total (DBK+STR) CIN NO. CIN DT. Reward Flag
0589036734  AEOPA9390KCH001  8322916  26 DEC 2017 12:12  DKCOP  2  387.02  431681.28  0  8634  0  8634  N.A.  N.A.  Click here to view item wise reward details </t>
  </si>
  <si>
    <t xml:space="preserve">GSTIN    -    02AXXXXXXXXK1ZJ
Invoice Number Invoice Date IGST Paid(INR)
XXXXXXXXXXXXXX-18  2017-12-23  77699 </t>
  </si>
  <si>
    <t xml:space="preserve">IEC CHA No. Job No. Job Date Port of Discharge Total Package Gross Weight (Kg) FOB(INR) Total Cess (INR) Drawback STR Total (DBK+STR) CIN NO. CIN DT. Reward Flag
0513039759  AKMPA9089KCH001  8330316  26 DEC 2017 12:12  IRBND  349  7500  1312284.8  0  19684  0  19684  N.A.  N.A.  Click here to view item wise reward details </t>
  </si>
  <si>
    <t xml:space="preserve">Current Que LEO Date EP Copy Print Status DBK Scroll No Scroll Date EGM Integration Status
HIST  28 DEC 2017 00:12  Y  23414/2018  12 JAN 2018 00:01  Y </t>
  </si>
  <si>
    <t xml:space="preserve">EGM No. EGM Date Container No. Seal No. Error Message
R1577680501  2018-1-5 0.0.0.0  TCNU9903836  416467  N.A. </t>
  </si>
  <si>
    <t xml:space="preserve">GSTIN    -    07AXXXXXXXXK1Z5
Invoice Number Invoice Date IGST Paid(INR)
XXXXXXXXXXXXXX-18  2017-12-25  238078 </t>
  </si>
  <si>
    <t xml:space="preserve">IEC CHA No. Job No. Job Date Port of Discharge Total Package Gross Weight (Kg) FOB(INR) Total Cess (INR) Drawback STR Total (DBK+STR) CIN NO. CIN DT. Reward Flag
0503019321  AXAPK5104ECH001  8332795  26 DEC 2017 12:12  LKCMB  74  8894.8  1963168.33  0  35337  0  35337  N.A.  N.A.  Click here to view item wise reward details </t>
  </si>
  <si>
    <t xml:space="preserve">Current Que LEO Date EP Copy Print Status DBK Scroll No Scroll Date EGM Integration Status
HIST  29 DEC 2017 00:12  Y  24432/2018  25 MAR 2018 00:03  Y </t>
  </si>
  <si>
    <t xml:space="preserve">EGM No. EGM Date Container No. Seal No. Error Message
J187200201  2018-1-2 0.0.0.0  TRHU1718645  415796  N.A. </t>
  </si>
  <si>
    <t xml:space="preserve">GSTIN    -    08AXXXXXXXXA1ZT
Invoice Number Invoice Date IGST Paid(INR)
XXX/02  2017-12-26  99422 </t>
  </si>
  <si>
    <t>2017/12/27</t>
  </si>
  <si>
    <t xml:space="preserve">IEC CHA No. Job No. Job Date Port of Discharge Total Package Gross Weight (Kg) FOB(INR) Total Cess (INR) Drawback STR Total (DBK+STR) CIN NO. CIN DT. Reward Flag
0504077171  AKOPK7974PCH001  8352771  27 DEC 2017 12:12  LKCMB  2100  105210  2133632  0  0  0  0  N.A.  N.A.  Click here to view item wise reward details </t>
  </si>
  <si>
    <t xml:space="preserve">Current Que LEO Date EP Copy Print Status DBK Scroll No Scroll Date EGM Integration Status
HIST  29 DEC 2017 00:12  Y  N.A.  N.A.  Y </t>
  </si>
  <si>
    <t xml:space="preserve">EGM No. EGM Date Container No. Seal No. Error Message
J477923112  2017-12-31 0.0.0.0  CAIU2296399  GEID00000177  N.A. </t>
  </si>
  <si>
    <t xml:space="preserve">GSTIN    -    06AXXXXXXXXB1ZF
Invoice Number Invoice Date IGST Paid(INR)
117  2017-12-26  4081 </t>
  </si>
  <si>
    <t xml:space="preserve">IEC CHA No. Job No. Job Date Port of Discharge Total Package Gross Weight (Kg) FOB(INR) Total Cess (INR) Drawback STR Total (DBK+STR) CIN NO. CIN DT. Reward Flag
0509025765  AFFPC6074GCH001  8353709  27 DEC 2017 12:12  MUPLU  58  1500  725799  0  0  0  0  N.A.  N.A.  Click here to view item wise reward details </t>
  </si>
  <si>
    <t xml:space="preserve">EGM No. EGM Date Container No. Seal No. Error Message
T987020101  2018-1-1 0.0.0.0  HJCU1719711  415025  N.A. </t>
  </si>
  <si>
    <t xml:space="preserve">GSTIN    -    07AXXXXXXXXP1Z3
Invoice Number Invoice Date IGST Paid(INR)
X021  2017-12-14  32148 
X022  2017-12-14  27327 
X023  2017-12-14  29400 </t>
  </si>
  <si>
    <t xml:space="preserve">AWB No. Gateway Port Gateway EGM No. Gateway EGM Date Gateway Site ID Error Code
N.A.  INNSA1  141394  2017-12-26 00:00:00.0  INNSA1  S </t>
  </si>
  <si>
    <t xml:space="preserve">IEC CHA No. Job No. Job Date Port of Discharge Total Package Gross Weight (Kg) FOB(INR) Total Cess (INR) Drawback STR Total (DBK+STR) CIN NO. CIN DT. Reward Flag
1210001128  AACCA3147PCH001  8355698  27 DEC 2017 12:12  VNHPH  12  412.3  237283.4  0  6407  0  6407  N.A.  N.A.  Click here to view item wise reward details </t>
  </si>
  <si>
    <t xml:space="preserve">Current Que LEO Date EP Copy Print Status DBK Scroll No Scroll Date EGM Integration Status
HIST  03 JAN 2018 00:01  Y  23481/2018  18 JAN 2018 00:01  Y </t>
  </si>
  <si>
    <t xml:space="preserve">EGM No. EGM Date Container No. Seal No. Error Message
T437021401  2018-1-14 0.0.0.0  TEMU0782559  417070  N.A. </t>
  </si>
  <si>
    <t xml:space="preserve">GSTIN    -    03AXXXXXXXXP1ZA
Invoice Number Invoice Date IGST Paid(INR)
XXXX937  2017-12-19  11723 </t>
  </si>
  <si>
    <t xml:space="preserve">AWB No. Gateway Port Gateway EGM No. Gateway EGM Date Gateway Site ID Error Code
N.A.  INMUN1  143166  2018-01-23 00:00:00.0  INMUN1  S </t>
  </si>
  <si>
    <t xml:space="preserve">IEC CHA No. Job No. Job Date Port of Discharge Total Package Gross Weight (Kg) FOB(INR) Total Cess (INR) Drawback STR Total (DBK+STR) CIN NO. CIN DT. Reward Flag
0595012647  AAACC6689ECH001  8362130  27 DEC 2017 12:12  PKKHI  1457  24031  4832083.66  0  72481  0  72481  N.A.  N.A.  Click here to view item wise reward details </t>
  </si>
  <si>
    <t xml:space="preserve">EGM No. EGM Date Container No. Seal No. Error Message
R1667320301  2018-1-3 0.0.0.0  SEGU4785903  001898  N.A. </t>
  </si>
  <si>
    <t xml:space="preserve">GSTIN    -    07AXXXXXXXXB1ZR
Invoice Number Invoice Date IGST Paid(INR)
XXXXXXXXX-18  2017-12-27  4829 </t>
  </si>
  <si>
    <t xml:space="preserve">IEC CHA No. Job No. Job Date Port of Discharge Total Package Gross Weight (Kg) FOB(INR) Total Cess (INR) Drawback STR Total (DBK+STR) CIN NO. CIN DT. Reward Flag
0595012647  AAACC6689ECH001  8362200  27 DEC 2017 12:12  PKKHI  2652  48008  11120240.98  0  166804  0  166804  N.A.  N.A.  Click here to view item wise reward details </t>
  </si>
  <si>
    <t xml:space="preserve">EGM No. EGM Date Container No. Seal No. Error Message
R1667320301  2018-1-3 0.0.0.0  TCNU7193524  001896  N.A. </t>
  </si>
  <si>
    <t xml:space="preserve">GSTIN    -    07AXXXXXXXXB1ZR
Invoice Number Invoice Date IGST Paid(INR)
XXXXXXXXX-18  2017-12-27  11114 </t>
  </si>
  <si>
    <t>2017/12/28</t>
  </si>
  <si>
    <t xml:space="preserve">IEC CHA No. Job No. Job Date Port of Discharge Total Package Gross Weight (Kg) FOB(INR) Total Cess (INR) Drawback STR Total (DBK+STR) CIN NO. CIN DT. Reward Flag
0504077171  AKOPK7974PCH001  8384285  28 DEC 2017 12:12  LKCMB  2100  105210  2133632  0  0  0  0  N.A.  N.A.  Click here to view item wise reward details </t>
  </si>
  <si>
    <t xml:space="preserve">Current Que LEO Date EP Copy Print Status DBK Scroll No Scroll Date EGM Integration Status
HIST  01 JAN 2018 00:01  Y  N.A.  N.A.  Y </t>
  </si>
  <si>
    <t xml:space="preserve">EGM No. EGM Date Container No. Seal No. Error Message
TX207260201  2018-1-2 0.0.0.0  HDMU2596246  GEID00000181  N.A. </t>
  </si>
  <si>
    <t xml:space="preserve">GSTIN    -    06AXXXXXXXXB1ZF
Invoice Number Invoice Date IGST Paid(INR)
118  2017-12-27  3647 </t>
  </si>
  <si>
    <t xml:space="preserve">AWB No. Gateway Port Gateway EGM No. Gateway EGM Date Gateway Site ID Error Code
N.A.  INMUN1  142479  2018-01-12 00:00:00.0  INMUN1  S </t>
  </si>
  <si>
    <t xml:space="preserve">IEC CHA No. Job No. Job Date Port of Discharge Total Package Gross Weight (Kg) FOB(INR) Total Cess (INR) Drawback STR Total (DBK+STR) CIN NO. CIN DT. Reward Flag
0500050139  AACFL6638BCH001  8398812  28 DEC 2017 12:12  BJCOO  612  21217  6059616  0  0  0  0  N.A.  N.A.  Click here to view item wise reward details </t>
  </si>
  <si>
    <t xml:space="preserve">EGM No. EGM Date Container No. Seal No. Error Message
J477923112  2017-12-31 0.0.0.0  MSKU2326584  415287  N.A. </t>
  </si>
  <si>
    <t xml:space="preserve">GSTIN    -    07AXXXXXXXXF1ZU
Invoice Number Invoice Date IGST Paid(INR)
XXXXXXX072  2017-12-26  727153 </t>
  </si>
  <si>
    <t xml:space="preserve">AWB No. Gateway Port Gateway EGM No. Gateway EGM Date Gateway Site ID Error Code
N.A.  INMUN1  141264  2017-12-23 00:00:00.0  INMUN1  S </t>
  </si>
  <si>
    <t>2017/12/29</t>
  </si>
  <si>
    <t xml:space="preserve">EGM No. EGM Date Container No. Seal No. Error Message
R287920701  2018-1-7 0.0.0.0  BAXU5062245  416534  N.A. </t>
  </si>
  <si>
    <t xml:space="preserve">GSTIN    -    08AXXXXXXXXD1ZM
Invoice Number Invoice Date IGST Paid(INR)
XXXXXXX687  2017-12-28  233780 </t>
  </si>
  <si>
    <t xml:space="preserve">AWB No. Gateway Port Gateway EGM No. Gateway EGM Date Gateway Site ID Error Code
N.A.  INNSA1  142173  2018-01-08 00:00:00.0  INNSA1  S </t>
  </si>
  <si>
    <t xml:space="preserve">IEC CHA No. Job No. Job Date Port of Discharge Total Package Gross Weight (Kg) FOB(INR) Total Cess (INR) Drawback STR Total (DBK+STR) CIN NO. CIN DT. Reward Flag
0504077171  AKOPK7974PCH001  8412479  29 DEC 2017 12:12  LKCMB  2100  105210  2664512  0  0  0  0  N.A.  N.A.  Click here to view item wise reward details </t>
  </si>
  <si>
    <t xml:space="preserve">Current Que LEO Date EP Copy Print Status DBK Scroll No Scroll Date EGM Integration Status
HIST  02 JAN 2018 00:01  Y  N.A.  N.A.  Y </t>
  </si>
  <si>
    <t xml:space="preserve">EGM No. EGM Date Container No. Seal No. Error Message
R937340301  2018-1-3 0.0.0.0  TCLU3282230  GEID00000186  N.A. </t>
  </si>
  <si>
    <t xml:space="preserve">GSTIN    -    06AXXXXXXXXB1ZF
Invoice Number Invoice Date IGST Paid(INR)
119  2017-12-28  4082 </t>
  </si>
  <si>
    <t xml:space="preserve">AWB No. Gateway Port Gateway EGM No. Gateway EGM Date Gateway Site ID Error Code
N.A.  INPAV1  141634  2017-12-29 00:00:00.0  INPAV1  S </t>
  </si>
  <si>
    <t xml:space="preserve">IEC CHA No. Job No. Job Date Port of Discharge Total Package Gross Weight (Kg) FOB(INR) Total Cess (INR) Drawback STR Total (DBK+STR) CIN NO. CIN DT. Reward Flag
0589036734  AEOPA9390KCH001  8413784  29 DEC 2017 12:12  DKCOP  2  507.76  467680  0  9354  0  9354  N.A.  N.A.  Click here to view item wise reward details </t>
  </si>
  <si>
    <t xml:space="preserve">Current Que LEO Date EP Copy Print Status DBK Scroll No Scroll Date EGM Integration Status
HIST  30 DEC 2017 00:12  Y  24432/2018  25 MAR 2018 00:03  Y </t>
  </si>
  <si>
    <t xml:space="preserve">EGM No. EGM Date Container No. Seal No. Error Message
T897341001  2018-1-10 0.0.0.0  HLXU8630693  416587  N.A. </t>
  </si>
  <si>
    <t xml:space="preserve">GSTIN    -    02AXXXXXXXXK1ZJ
Invoice Number Invoice Date IGST Paid(INR)
XXXXXXXXXXXXXX-18  2017-12-28  84175 </t>
  </si>
  <si>
    <t xml:space="preserve">AWB No. Gateway Port Gateway EGM No. Gateway EGM Date Gateway Site ID Error Code
N.A.  INMUN1  141770  2018-01-02 00:00:00.0  INMUN1  S </t>
  </si>
  <si>
    <t xml:space="preserve">EGM No. EGM Date Container No. Seal No. Error Message
R1977520401  2018-1-4 0.0.0.0  TRLU7451153  415871  N.A. </t>
  </si>
  <si>
    <t xml:space="preserve">GSTIN    -    08AXXXXXXXXD1ZM
Invoice Number Invoice Date IGST Paid(INR)
XXXXXXX697  2017-12-29  22519 </t>
  </si>
  <si>
    <t xml:space="preserve">AWB No. Gateway Port Gateway EGM No. Gateway EGM Date Gateway Site ID Error Code
N.A.  INNSA1  141170  2017-12-22 00:00:00.0  INNSA1  S </t>
  </si>
  <si>
    <t>2017/12/30</t>
  </si>
  <si>
    <t xml:space="preserve">IEC CHA No. Job No. Job Date Port of Discharge Total Package Gross Weight (Kg) FOB(INR) Total Cess (INR) Drawback STR Total (DBK+STR) CIN NO. CIN DT. Reward Flag
0588128180  ADFFS3281FCH001  8448407  30 DEC 2017 12:12  NZAKL  22  490  93220  0  0  0  0  N.A.  N.A.  Click here to view item wise reward details </t>
  </si>
  <si>
    <t xml:space="preserve">Current Que LEO Date EP Copy Print Status DBK Scroll No Scroll Date EGM Integration Status
HIST  05 JAN 2018 00:01  Y  N.A.  N.A.  Y </t>
  </si>
  <si>
    <t xml:space="preserve">GSTIN    -    07AXXXXXXXXJ1Z1
Invoice Number Invoice Date IGST Paid(INR)
XXXXXXXX/17  2017-12-28  1137 </t>
  </si>
  <si>
    <t xml:space="preserve">IEC CHA No. Job No. Job Date Port of Discharge Total Package Gross Weight (Kg) FOB(INR) Total Cess (INR) Drawback STR Total (DBK+STR) CIN NO. CIN DT. Reward Flag
AGEPB3375R  AHDPK8975CCH001  8449353  30 DEC 2017 12:12  AEJEA  3  481  85446.4  0  1709  0  1709  N.A.  N.A.  Click here to view item wise reward details </t>
  </si>
  <si>
    <t xml:space="preserve">Current Que LEO Date EP Copy Print Status DBK Scroll No Scroll Date EGM Integration Status
HIST  04 JAN 2018 00:01  Y  23414/2018  12 JAN 2018 00:01  Y </t>
  </si>
  <si>
    <t xml:space="preserve">EGM No. EGM Date Container No. Seal No. Error Message
R1177860601  2018-1-6 0.0.0.0  CRSU1073564  416539  N.A. </t>
  </si>
  <si>
    <t xml:space="preserve">GSTIN    -    06AXXXXXXXXR1Z3
Invoice Number Invoice Date IGST Paid(INR)
XXXXXXXXXXXXXXOL-  2017-12-29  15380 </t>
  </si>
  <si>
    <t xml:space="preserve">AWB No. Gateway Port Gateway EGM No. Gateway EGM Date Gateway Site ID Error Code
N.A.  INMUN1  142204  2018-01-09 00:00:00.0  INMUN1  S </t>
  </si>
  <si>
    <t xml:space="preserve">IEC CHA No. Job No. Job Date Port of Discharge Total Package Gross Weight (Kg) FOB(INR) Total Cess (INR) Drawback STR Total (DBK+STR) CIN NO. CIN DT. Reward Flag
0595012647  AAACC6689ECH001  8453171  30 DEC 2017 12:12  PKKHI  1369  20982  5534737.47  0  83021  0  83021  N.A.  N.A.  Click here to view item wise reward details </t>
  </si>
  <si>
    <t xml:space="preserve">Current Que LEO Date EP Copy Print Status DBK Scroll No Scroll Date EGM Integration Status
HIST  05 JAN 2018 00:01  Y  23414/2018  12 JAN 2018 00:01  Y </t>
  </si>
  <si>
    <t xml:space="preserve">EGM No. EGM Date Container No. Seal No. Error Message
R127160801  2018-1-8 0.0.0.0  DFSU7698896  001899  N.A. </t>
  </si>
  <si>
    <t xml:space="preserve">GSTIN    -    07AXXXXXXXXB1ZR
Invoice Number Invoice Date IGST Paid(INR)
XXXXXXXXX-18  2017-12-30  5530 </t>
  </si>
  <si>
    <t xml:space="preserve">AWB No. Gateway Port Gateway EGM No. Gateway EGM Date Gateway Site ID Error Code
N.A.  INMUN1  141231  2017-12-22 00:00:00.0  INMUN1  S </t>
  </si>
  <si>
    <t xml:space="preserve">IEC CHA No. Job No. Job Date Port of Discharge Total Package Gross Weight (Kg) FOB(INR) Total Cess (INR) Drawback STR Total (DBK+STR) CIN NO. CIN DT. Reward Flag
0595012647  AAACC6689ECH001  8454665  30 DEC 2017 12:12  PKKHI  950  11875  4250832  0  63762  0  63762  N.A.  N.A.  Click here to view item wise reward details </t>
  </si>
  <si>
    <t xml:space="preserve">Current Que LEO Date EP Copy Print Status DBK Scroll No Scroll Date EGM Integration Status
HIST  06 JAN 2018 00:01  Y  23643/2018  31 JAN 2018 00:01  Y </t>
  </si>
  <si>
    <t xml:space="preserve">EGM No. EGM Date Container No. Seal No. Error Message
R557701201  2018-1-12 0.0.0.0  BMOU6247406  416849  N.A. </t>
  </si>
  <si>
    <t xml:space="preserve">GSTIN    -    07AXXXXXXXXB1ZR
Invoice Number Invoice Date IGST Paid(INR)
XXXXXXXXX-18  2017-12-27  4250 </t>
  </si>
  <si>
    <t>COUNTA of SB no</t>
  </si>
  <si>
    <t>TUGLAKABAD ICD (INTKD6) Total</t>
  </si>
  <si>
    <t>Grand Total</t>
  </si>
  <si>
    <t>AWB No. Gateway Port Gateway EGM No. Gateway EGM Date Gateway Site ID Error Code
N.A.  INMUN1  131465  2017-07-14 00:00:00.0  INMUN1  S  Total</t>
  </si>
  <si>
    <t>AWB No. Gateway Port Gateway EGM No. Gateway EGM Date Gateway Site ID Error Code
N.A.  INMUN1  132131  2017-07-25 00:00:00.0  INMUN1  S  Total</t>
  </si>
  <si>
    <t>AWB No. Gateway Port Gateway EGM No. Gateway EGM Date Gateway Site ID Error Code
N.A.  INMUN1  132702  2017-08-04 00:00:00.0  INMUN1  S  Total</t>
  </si>
  <si>
    <t>AWB No. Gateway Port Gateway EGM No. Gateway EGM Date Gateway Site ID Error Code
N.A.  INMUN1  133179  2017-08-11 00:00:00.0  INMUN1  S  Total</t>
  </si>
  <si>
    <t>AWB No. Gateway Port Gateway EGM No. Gateway EGM Date Gateway Site ID Error Code
N.A.  INMUN1  133184  2017-08-11 00:00:00.0  INMUN1  S  Total</t>
  </si>
  <si>
    <t>AWB No. Gateway Port Gateway EGM No. Gateway EGM Date Gateway Site ID Error Code
N.A.  INMUN1  133566  2017-08-18 00:00:00.0  INMUN1  S  Total</t>
  </si>
  <si>
    <t>AWB No. Gateway Port Gateway EGM No. Gateway EGM Date Gateway Site ID Error Code
N.A.  INMUN1  133567  2017-08-18 00:00:00.0  INMUN1  S  Total</t>
  </si>
  <si>
    <t>AWB No. Gateway Port Gateway EGM No. Gateway EGM Date Gateway Site ID Error Code
N.A.  INMUN1  133789  2017-08-23 00:00:00.0  INMUN1  S  Total</t>
  </si>
  <si>
    <t>AWB No. Gateway Port Gateway EGM No. Gateway EGM Date Gateway Site ID Error Code
N.A.  INMUN1  133949  2017-08-26 00:00:00.0  INMUN1  S  Total</t>
  </si>
  <si>
    <t>AWB No. Gateway Port Gateway EGM No. Gateway EGM Date Gateway Site ID Error Code
N.A.  INMUN1  134015  2017-08-28 00:00:00.0  INMUN1  S  Total</t>
  </si>
  <si>
    <t>AWB No. Gateway Port Gateway EGM No. Gateway EGM Date Gateway Site ID Error Code
N.A.  INMUN1  134051  2017-08-28 00:00:00.0  INMUN1  S  Total</t>
  </si>
  <si>
    <t>AWB No. Gateway Port Gateway EGM No. Gateway EGM Date Gateway Site ID Error Code
N.A.  INMUN1  134053  2017-08-28 00:00:00.0  INMUN1  S  Total</t>
  </si>
  <si>
    <t>AWB No. Gateway Port Gateway EGM No. Gateway EGM Date Gateway Site ID Error Code
N.A.  INMUN1  134053  2017-08-28 00:00:00.0  INMUN1  ST  Total</t>
  </si>
  <si>
    <t>AWB No. Gateway Port Gateway EGM No. Gateway EGM Date Gateway Site ID Error Code
N.A.  INMUN1  134134  2017-08-29 00:00:00.0  INMUN1  S  Total</t>
  </si>
  <si>
    <t>AWB No. Gateway Port Gateway EGM No. Gateway EGM Date Gateway Site ID Error Code
N.A.  INMUN1  134147  2017-08-29 00:00:00.0  INMUN1  S  Total</t>
  </si>
  <si>
    <t>AWB No. Gateway Port Gateway EGM No. Gateway EGM Date Gateway Site ID Error Code
N.A.  INMUN1  134209  2017-08-30 00:00:00.0  INMUN1  NC  Total</t>
  </si>
  <si>
    <t>AWB No. Gateway Port Gateway EGM No. Gateway EGM Date Gateway Site ID Error Code
N.A.  INMUN1  134209  2017-08-30 00:00:00.0  INMUN1  S  Total</t>
  </si>
  <si>
    <t>AWB No. Gateway Port Gateway EGM No. Gateway EGM Date Gateway Site ID Error Code
N.A.  INMUN1  134211  2017-08-30 00:00:00.0  INMUN1  S  Total</t>
  </si>
  <si>
    <t>AWB No. Gateway Port Gateway EGM No. Gateway EGM Date Gateway Site ID Error Code
N.A.  INMUN1  134212  2017-08-30 00:00:00.0  INMUN1  S  Total</t>
  </si>
  <si>
    <t>AWB No. Gateway Port Gateway EGM No. Gateway EGM Date Gateway Site ID Error Code
N.A.  INMUN1  134406  2017-09-01 00:00:00.0  INMUN1  S  Total</t>
  </si>
  <si>
    <t>AWB No. Gateway Port Gateway EGM No. Gateway EGM Date Gateway Site ID Error Code
N.A.  INMUN1  134487  2017-09-04 00:00:00.0  INMUN1  S  Total</t>
  </si>
  <si>
    <t>AWB No. Gateway Port Gateway EGM No. Gateway EGM Date Gateway Site ID Error Code
N.A.  INMUN1  134637  2017-09-06 00:00:00.0  INMUN1  S  Total</t>
  </si>
  <si>
    <t>AWB No. Gateway Port Gateway EGM No. Gateway EGM Date Gateway Site ID Error Code
N.A.  INMUN1  134793  2017-09-08 00:00:00.0  INMUN1  C  Total</t>
  </si>
  <si>
    <t>AWB No. Gateway Port Gateway EGM No. Gateway EGM Date Gateway Site ID Error Code
N.A.  INMUN1  134794  2017-09-08 00:00:00.0  INMUN1  S  Total</t>
  </si>
  <si>
    <t>AWB No. Gateway Port Gateway EGM No. Gateway EGM Date Gateway Site ID Error Code
N.A.  INMUN1  134795  2017-09-08 00:00:00.0  INMUN1  S  Total</t>
  </si>
  <si>
    <t>AWB No. Gateway Port Gateway EGM No. Gateway EGM Date Gateway Site ID Error Code
N.A.  INMUN1  134796  2017-09-08 00:00:00.0  INMUN1  S  Total</t>
  </si>
  <si>
    <t>AWB No. Gateway Port Gateway EGM No. Gateway EGM Date Gateway Site ID Error Code
N.A.  INMUN1  134870  2017-09-11 00:00:00.0  INMUN1  S  Total</t>
  </si>
  <si>
    <t>AWB No. Gateway Port Gateway EGM No. Gateway EGM Date Gateway Site ID Error Code
N.A.  INMUN1  134919  2017-09-12 00:00:00.0  INMUN1  S  Total</t>
  </si>
  <si>
    <t>AWB No. Gateway Port Gateway EGM No. Gateway EGM Date Gateway Site ID Error Code
N.A.  INMUN1  134923  2017-09-12 00:00:00.0  INMUN1  S  Total</t>
  </si>
  <si>
    <t>AWB No. Gateway Port Gateway EGM No. Gateway EGM Date Gateway Site ID Error Code
N.A.  INMUN1  135372  2017-09-19 00:00:00.0  INMUN1  S  Total</t>
  </si>
  <si>
    <t>AWB No. Gateway Port Gateway EGM No. Gateway EGM Date Gateway Site ID Error Code
N.A.  INMUN1  135373  2017-09-19 00:00:00.0  INMUN1  S  Total</t>
  </si>
  <si>
    <t>AWB No. Gateway Port Gateway EGM No. Gateway EGM Date Gateway Site ID Error Code
N.A.  INMUN1  135378  2017-09-19 00:00:00.0  INMUN1  S  Total</t>
  </si>
  <si>
    <t>AWB No. Gateway Port Gateway EGM No. Gateway EGM Date Gateway Site ID Error Code
N.A.  INMUN1  135390  2017-09-19 00:00:00.0  INMUN1  S  Total</t>
  </si>
  <si>
    <t>AWB No. Gateway Port Gateway EGM No. Gateway EGM Date Gateway Site ID Error Code
N.A.  INMUN1  135448  2017-09-20 00:00:00.0  INMUN1  S  Total</t>
  </si>
  <si>
    <t>AWB No. Gateway Port Gateway EGM No. Gateway EGM Date Gateway Site ID Error Code
N.A.  INMUN1  135461  2017-09-20 00:00:00.0  INMUN1  S  Total</t>
  </si>
  <si>
    <t>AWB No. Gateway Port Gateway EGM No. Gateway EGM Date Gateway Site ID Error Code
N.A.  INMUN1  135462  2017-09-20 00:00:00.0  INMUN1  S  Total</t>
  </si>
  <si>
    <t>AWB No. Gateway Port Gateway EGM No. Gateway EGM Date Gateway Site ID Error Code
N.A.  INMUN1  135887  2017-09-27 00:00:00.0  INMUN1  S  Total</t>
  </si>
  <si>
    <t>AWB No. Gateway Port Gateway EGM No. Gateway EGM Date Gateway Site ID Error Code
N.A.  INMUN1  135995  2017-09-28 00:00:00.0  INMUN1  S  Total</t>
  </si>
  <si>
    <t>AWB No. Gateway Port Gateway EGM No. Gateway EGM Date Gateway Site ID Error Code
N.A.  INMUN1  136070  2017-09-29 00:00:00.0  INMUN1  S  Total</t>
  </si>
  <si>
    <t>AWB No. Gateway Port Gateway EGM No. Gateway EGM Date Gateway Site ID Error Code
N.A.  INMUN1  136071  2017-09-29 00:00:00.0  INMUN1  S  Total</t>
  </si>
  <si>
    <t>AWB No. Gateway Port Gateway EGM No. Gateway EGM Date Gateway Site ID Error Code
N.A.  INMUN1  136169  2017-10-03 00:00:00.0  INMUN1  S  Total</t>
  </si>
  <si>
    <t>AWB No. Gateway Port Gateway EGM No. Gateway EGM Date Gateway Site ID Error Code
N.A.  INMUN1  136501  2017-10-08 00:00:00.0  INMUN1  S  Total</t>
  </si>
  <si>
    <t>AWB No. Gateway Port Gateway EGM No. Gateway EGM Date Gateway Site ID Error Code
N.A.  INMUN1  136518  2017-10-09 00:00:00.0  INMUN1  S  Total</t>
  </si>
  <si>
    <t>AWB No. Gateway Port Gateway EGM No. Gateway EGM Date Gateway Site ID Error Code
N.A.  INMUN1  136519  2017-10-09 00:00:00.0  INMUN1  S  Total</t>
  </si>
  <si>
    <t>AWB No. Gateway Port Gateway EGM No. Gateway EGM Date Gateway Site ID Error Code
N.A.  INMUN1  136910  2017-10-13 00:00:00.0  INMUN1  S  Total</t>
  </si>
  <si>
    <t>AWB No. Gateway Port Gateway EGM No. Gateway EGM Date Gateway Site ID Error Code
N.A.  INMUN1  137020  2017-10-16 00:00:00.0  INMUN1  S  Total</t>
  </si>
  <si>
    <t>AWB No. Gateway Port Gateway EGM No. Gateway EGM Date Gateway Site ID Error Code
N.A.  INMUN1  137035  2017-10-16 00:00:00.0  INMUN1  S  Total</t>
  </si>
  <si>
    <t>AWB No. Gateway Port Gateway EGM No. Gateway EGM Date Gateway Site ID Error Code
N.A.  INMUN1  137180  2017-10-18 00:00:00.0  INMUN1  ST  Total</t>
  </si>
  <si>
    <t>AWB No. Gateway Port Gateway EGM No. Gateway EGM Date Gateway Site ID Error Code
N.A.  INMUN1  137573  2017-10-25 00:00:00.0  INMUN1  S  Total</t>
  </si>
  <si>
    <t>AWB No. Gateway Port Gateway EGM No. Gateway EGM Date Gateway Site ID Error Code
N.A.  INMUN1  137768  2017-10-28 00:00:00.0  INMUN1  S  Total</t>
  </si>
  <si>
    <t>AWB No. Gateway Port Gateway EGM No. Gateway EGM Date Gateway Site ID Error Code
N.A.  INMUN1  137857  2017-10-30 00:00:00.0  INMUN1  S  Total</t>
  </si>
  <si>
    <t>AWB No. Gateway Port Gateway EGM No. Gateway EGM Date Gateway Site ID Error Code
N.A.  INMUN1  137950  2017-11-01 00:00:00.0  INMUN1  S  Total</t>
  </si>
  <si>
    <t>AWB No. Gateway Port Gateway EGM No. Gateway EGM Date Gateway Site ID Error Code
N.A.  INMUN1  137953  2017-11-01 00:00:00.0  INMUN1  S  Total</t>
  </si>
  <si>
    <t>AWB No. Gateway Port Gateway EGM No. Gateway EGM Date Gateway Site ID Error Code
N.A.  INMUN1  137976  2017-11-01 00:00:00.0  INMUN1  S  Total</t>
  </si>
  <si>
    <t>AWB No. Gateway Port Gateway EGM No. Gateway EGM Date Gateway Site ID Error Code
N.A.  INMUN1  138172  2017-11-03 00:00:00.0  INMUN1  S  Total</t>
  </si>
  <si>
    <t>AWB No. Gateway Port Gateway EGM No. Gateway EGM Date Gateway Site ID Error Code
N.A.  INMUN1  138363  2017-11-07 00:00:00.0  INMUN1  S  Total</t>
  </si>
  <si>
    <t>AWB No. Gateway Port Gateway EGM No. Gateway EGM Date Gateway Site ID Error Code
N.A.  INMUN1  138681  2017-11-13 00:00:00.0  INMUN1  S  Total</t>
  </si>
  <si>
    <t>AWB No. Gateway Port Gateway EGM No. Gateway EGM Date Gateway Site ID Error Code
N.A.  INMUN1  138685  2017-11-13 00:00:00.0  INMUN1  S  Total</t>
  </si>
  <si>
    <t>AWB No. Gateway Port Gateway EGM No. Gateway EGM Date Gateway Site ID Error Code
N.A.  INMUN1  138865  2017-11-15 00:00:00.0  INMUN1  S  Total</t>
  </si>
  <si>
    <t>AWB No. Gateway Port Gateway EGM No. Gateway EGM Date Gateway Site ID Error Code
N.A.  INMUN1  138991  2017-11-17 00:00:00.0  INMUN1  S  Total</t>
  </si>
  <si>
    <t>AWB No. Gateway Port Gateway EGM No. Gateway EGM Date Gateway Site ID Error Code
N.A.  INMUN1  139000  2017-11-17 00:00:00.0  INMUN1  S  Total</t>
  </si>
  <si>
    <t>AWB No. Gateway Port Gateway EGM No. Gateway EGM Date Gateway Site ID Error Code
N.A.  INMUN1  139070  2017-11-17 00:00:00.0  INMUN1  S  Total</t>
  </si>
  <si>
    <t>AWB No. Gateway Port Gateway EGM No. Gateway EGM Date Gateway Site ID Error Code
N.A.  INMUN1  139240  2017-11-21 00:00:00.0  INMUN1  S  Total</t>
  </si>
  <si>
    <t>AWB No. Gateway Port Gateway EGM No. Gateway EGM Date Gateway Site ID Error Code
N.A.  INMUN1  139244  2017-11-21 00:00:00.0  INMUN1  S  Total</t>
  </si>
  <si>
    <t>AWB No. Gateway Port Gateway EGM No. Gateway EGM Date Gateway Site ID Error Code
N.A.  INMUN1  139245  2017-11-21 00:00:00.0  INMUN1  S  Total</t>
  </si>
  <si>
    <t>AWB No. Gateway Port Gateway EGM No. Gateway EGM Date Gateway Site ID Error Code
N.A.  INMUN1  139344  2017-11-22 00:00:00.0  INMUN1  S  Total</t>
  </si>
  <si>
    <t>AWB No. Gateway Port Gateway EGM No. Gateway EGM Date Gateway Site ID Error Code
N.A.  INMUN1  139513  2017-11-24 00:00:00.0  INMUN1  S  Total</t>
  </si>
  <si>
    <t>AWB No. Gateway Port Gateway EGM No. Gateway EGM Date Gateway Site ID Error Code
N.A.  INMUN1  139832  2017-11-30 00:00:00.0  INMUN1  S  Total</t>
  </si>
  <si>
    <t>AWB No. Gateway Port Gateway EGM No. Gateway EGM Date Gateway Site ID Error Code
N.A.  INMUN1  140199  2017-12-06 00:00:00.0  INMUN1  S  Total</t>
  </si>
  <si>
    <t>AWB No. Gateway Port Gateway EGM No. Gateway EGM Date Gateway Site ID Error Code
N.A.  INMUN1  140232  2017-12-07 00:00:00.0  INMUN1  S  Total</t>
  </si>
  <si>
    <t>AWB No. Gateway Port Gateway EGM No. Gateway EGM Date Gateway Site ID Error Code
N.A.  INMUN1  140290  2017-12-07 00:00:00.0  INMUN1  S  Total</t>
  </si>
  <si>
    <t>AWB No. Gateway Port Gateway EGM No. Gateway EGM Date Gateway Site ID Error Code
N.A.  INMUN1  140358  2017-12-08 00:00:00.0  INMUN1  ST  Total</t>
  </si>
  <si>
    <t>AWB No. Gateway Port Gateway EGM No. Gateway EGM Date Gateway Site ID Error Code
N.A.  INMUN1  140361  2017-12-08 00:00:00.0  INMUN1  S  Total</t>
  </si>
  <si>
    <t>AWB No. Gateway Port Gateway EGM No. Gateway EGM Date Gateway Site ID Error Code
N.A.  INMUN1  140625  2017-12-13 00:00:00.0  INMUN1  S  Total</t>
  </si>
  <si>
    <t>AWB No. Gateway Port Gateway EGM No. Gateway EGM Date Gateway Site ID Error Code
N.A.  INMUN1  140630  2017-12-13 00:00:00.0  INMUN1  S  Total</t>
  </si>
  <si>
    <t>AWB No. Gateway Port Gateway EGM No. Gateway EGM Date Gateway Site ID Error Code
N.A.  INMUN1  140648  2017-12-13 00:00:00.0  INMUN1  S  Total</t>
  </si>
  <si>
    <t>AWB No. Gateway Port Gateway EGM No. Gateway EGM Date Gateway Site ID Error Code
N.A.  INMUN1  140703  2017-12-14 00:00:00.0  INMUN1  S  Total</t>
  </si>
  <si>
    <t>AWB No. Gateway Port Gateway EGM No. Gateway EGM Date Gateway Site ID Error Code
N.A.  INMUN1  140712  2017-12-15 00:00:00.0  INMUN1  S  Total</t>
  </si>
  <si>
    <t>AWB No. Gateway Port Gateway EGM No. Gateway EGM Date Gateway Site ID Error Code
N.A.  INMUN1  140925  2017-12-19 00:00:00.0  INMUN1  S  Total</t>
  </si>
  <si>
    <t>AWB No. Gateway Port Gateway EGM No. Gateway EGM Date Gateway Site ID Error Code
N.A.  INMUN1  140930  2017-12-19 00:00:00.0  INMUN1  S  Total</t>
  </si>
  <si>
    <t>AWB No. Gateway Port Gateway EGM No. Gateway EGM Date Gateway Site ID Error Code
N.A.  INMUN1  140931  2017-12-19 00:00:00.0  INMUN1  S  Total</t>
  </si>
  <si>
    <t>AWB No. Gateway Port Gateway EGM No. Gateway EGM Date Gateway Site ID Error Code
N.A.  INMUN1  141045  2017-12-20 00:00:00.0  INMUN1  S  Total</t>
  </si>
  <si>
    <t>AWB No. Gateway Port Gateway EGM No. Gateway EGM Date Gateway Site ID Error Code
N.A.  INMUN1  141077  2017-12-21 00:00:00.0  INMUN1  S  Total</t>
  </si>
  <si>
    <t>AWB No. Gateway Port Gateway EGM No. Gateway EGM Date Gateway Site ID Error Code
N.A.  INMUN1  141078  2017-12-21 00:00:00.0  INMUN1  S  Total</t>
  </si>
  <si>
    <t>AWB No. Gateway Port Gateway EGM No. Gateway EGM Date Gateway Site ID Error Code
N.A.  INMUN1  141142  2017-12-21 00:00:00.0  INMUN1  S  Total</t>
  </si>
  <si>
    <t>AWB No. Gateway Port Gateway EGM No. Gateway EGM Date Gateway Site ID Error Code
N.A.  INMUN1  141230  2017-12-22 00:00:00.0  INMUN1  S  Total</t>
  </si>
  <si>
    <t>AWB No. Gateway Port Gateway EGM No. Gateway EGM Date Gateway Site ID Error Code
N.A.  INMUN1  141231  2017-12-22 00:00:00.0  INMUN1  S  Total</t>
  </si>
  <si>
    <t>AWB No. Gateway Port Gateway EGM No. Gateway EGM Date Gateway Site ID Error Code
N.A.  INMUN1  141255  2017-12-23 00:00:00.0  INMUN1  S  Total</t>
  </si>
  <si>
    <t>AWB No. Gateway Port Gateway EGM No. Gateway EGM Date Gateway Site ID Error Code
N.A.  INMUN1  141264  2017-12-23 00:00:00.0  INMUN1  S  Total</t>
  </si>
  <si>
    <t>AWB No. Gateway Port Gateway EGM No. Gateway EGM Date Gateway Site ID Error Code
N.A.  INMUN1  141297  2017-12-26 00:00:00.0  INMUN1  S  Total</t>
  </si>
  <si>
    <t>AWB No. Gateway Port Gateway EGM No. Gateway EGM Date Gateway Site ID Error Code
N.A.  INMUN1  141426  2017-12-27 00:00:00.0  INMUN1  S  Total</t>
  </si>
  <si>
    <t>AWB No. Gateway Port Gateway EGM No. Gateway EGM Date Gateway Site ID Error Code
N.A.  INMUN1  141502  2017-12-27 00:00:00.0  INMUN1  S  Total</t>
  </si>
  <si>
    <t>AWB No. Gateway Port Gateway EGM No. Gateway EGM Date Gateway Site ID Error Code
N.A.  INMUN1  141756  2018-01-02 00:00:00.0  INMUN1  S  Total</t>
  </si>
  <si>
    <t>AWB No. Gateway Port Gateway EGM No. Gateway EGM Date Gateway Site ID Error Code
N.A.  INMUN1  141770  2018-01-02 00:00:00.0  INMUN1  S  Total</t>
  </si>
  <si>
    <t>AWB No. Gateway Port Gateway EGM No. Gateway EGM Date Gateway Site ID Error Code
N.A.  INMUN1  141855  2018-01-03 00:00:00.0  INMUN1  S  Total</t>
  </si>
  <si>
    <t>AWB No. Gateway Port Gateway EGM No. Gateway EGM Date Gateway Site ID Error Code
N.A.  INMUN1  141901  2018-01-03 00:00:00.0  INMUN1  S  Total</t>
  </si>
  <si>
    <t>AWB No. Gateway Port Gateway EGM No. Gateway EGM Date Gateway Site ID Error Code
N.A.  INMUN1  142133  2018-01-08 00:00:00.0  INMUN1  S  Total</t>
  </si>
  <si>
    <t>AWB No. Gateway Port Gateway EGM No. Gateway EGM Date Gateway Site ID Error Code
N.A.  INMUN1  142204  2018-01-09 00:00:00.0  INMUN1  S  Total</t>
  </si>
  <si>
    <t>AWB No. Gateway Port Gateway EGM No. Gateway EGM Date Gateway Site ID Error Code
N.A.  INMUN1  142479  2018-01-12 00:00:00.0  INMUN1  S  Total</t>
  </si>
  <si>
    <t>AWB No. Gateway Port Gateway EGM No. Gateway EGM Date Gateway Site ID Error Code
N.A.  INMUN1  143166  2018-01-23 00:00:00.0  INMUN1  S  Total</t>
  </si>
  <si>
    <t>AWB No. Gateway Port Gateway EGM No. Gateway EGM Date Gateway Site ID Error Code
N.A.  INMUN1  148326  2018-04-13 00:00:00.0  INMUN1  S  Total</t>
  </si>
  <si>
    <t>AWB No. Gateway Port Gateway EGM No. Gateway EGM Date Gateway Site ID Error Code
N.A.  INMUN1  151099  2018-05-28 00:00:00.0  INMUN1  S  Total</t>
  </si>
  <si>
    <t>AWB No. Gateway Port Gateway EGM No. Gateway EGM Date Gateway Site ID Error Code
N.A.  INMUN1  160432  2018-10-31 00:00:00.0  INMUN1  S  Total</t>
  </si>
  <si>
    <t>AWB No. Gateway Port Gateway EGM No. Gateway EGM Date Gateway Site ID Error Code
N.A.  INMUN1  N.A.  N.A.  N.A.  N.A.  Total</t>
  </si>
  <si>
    <t>AWB No. Gateway Port Gateway EGM No. Gateway EGM Date Gateway Site ID Error Code
N.A.  INNSA1  131685  2017-07-18 00:00:00.0  INNSA1  S  Total</t>
  </si>
  <si>
    <t>AWB No. Gateway Port Gateway EGM No. Gateway EGM Date Gateway Site ID Error Code
N.A.  INNSA1  132025  2017-07-24 00:00:00.0  INNSA1  S  Total</t>
  </si>
  <si>
    <t>AWB No. Gateway Port Gateway EGM No. Gateway EGM Date Gateway Site ID Error Code
N.A.  INNSA1  132146  2017-07-26 00:00:00.0  INNSA1  S  Total</t>
  </si>
  <si>
    <t>AWB No. Gateway Port Gateway EGM No. Gateway EGM Date Gateway Site ID Error Code
N.A.  INNSA1  132332  2017-07-28 00:00:00.0  INNSA1  S  Total</t>
  </si>
  <si>
    <t>AWB No. Gateway Port Gateway EGM No. Gateway EGM Date Gateway Site ID Error Code
N.A.  INNSA1  132431  2017-07-31 00:00:00.0  INNSA1  S  Total</t>
  </si>
  <si>
    <t>AWB No. Gateway Port Gateway EGM No. Gateway EGM Date Gateway Site ID Error Code
N.A.  INNSA1  132481  2017-07-31 00:00:00.0  INNSA1  C  Total</t>
  </si>
  <si>
    <t>AWB No. Gateway Port Gateway EGM No. Gateway EGM Date Gateway Site ID Error Code
N.A.  INNSA1  132629  2017-08-03 00:00:00.0  INNSA1  S  Total</t>
  </si>
  <si>
    <t>AWB No. Gateway Port Gateway EGM No. Gateway EGM Date Gateway Site ID Error Code
N.A.  INNSA1  132731  2017-08-04 00:00:00.0  INNSA1  S  Total</t>
  </si>
  <si>
    <t>AWB No. Gateway Port Gateway EGM No. Gateway EGM Date Gateway Site ID Error Code
N.A.  INNSA1  132737  2017-08-04 00:00:00.0  INNSA1  S  Total</t>
  </si>
  <si>
    <t>AWB No. Gateway Port Gateway EGM No. Gateway EGM Date Gateway Site ID Error Code
N.A.  INNSA1  132812  2017-08-07 00:00:00.0  INNSA1  C  Total</t>
  </si>
  <si>
    <t>AWB No. Gateway Port Gateway EGM No. Gateway EGM Date Gateway Site ID Error Code
N.A.  INNSA1  132938  2017-08-09 00:00:00.0  INNSA1  S  Total</t>
  </si>
  <si>
    <t>AWB No. Gateway Port Gateway EGM No. Gateway EGM Date Gateway Site ID Error Code
N.A.  INNSA1  132991  2017-08-09 00:00:00.0  INNSA1  S  Total</t>
  </si>
  <si>
    <t>AWB No. Gateway Port Gateway EGM No. Gateway EGM Date Gateway Site ID Error Code
N.A.  INNSA1  133031  2017-08-10 00:00:00.0  INNSA1  S  Total</t>
  </si>
  <si>
    <t>AWB No. Gateway Port Gateway EGM No. Gateway EGM Date Gateway Site ID Error Code
N.A.  INNSA1  133033  2017-08-10 00:00:00.0  INNSA1  C  Total</t>
  </si>
  <si>
    <t>AWB No. Gateway Port Gateway EGM No. Gateway EGM Date Gateway Site ID Error Code
N.A.  INNSA1  133033  2017-08-10 00:00:00.0  INNSA1  S  Total</t>
  </si>
  <si>
    <t>AWB No. Gateway Port Gateway EGM No. Gateway EGM Date Gateway Site ID Error Code
N.A.  INNSA1  133227  2017-08-14 00:00:00.0  INNSA1  S  Total</t>
  </si>
  <si>
    <t>AWB No. Gateway Port Gateway EGM No. Gateway EGM Date Gateway Site ID Error Code
N.A.  INNSA1  133243  2017-08-14 00:00:00.0  INNSA1  C  Total</t>
  </si>
  <si>
    <t>AWB No. Gateway Port Gateway EGM No. Gateway EGM Date Gateway Site ID Error Code
N.A.  INNSA1  133314  2017-08-16 00:00:00.0  INNSA1  S  Total</t>
  </si>
  <si>
    <t>AWB No. Gateway Port Gateway EGM No. Gateway EGM Date Gateway Site ID Error Code
N.A.  INNSA1  133327  2017-08-16 00:00:00.0  INNSA1  S  Total</t>
  </si>
  <si>
    <t>AWB No. Gateway Port Gateway EGM No. Gateway EGM Date Gateway Site ID Error Code
N.A.  INNSA1  133453  2017-08-17 00:00:00.0  INNSA1  S  Total</t>
  </si>
  <si>
    <t>AWB No. Gateway Port Gateway EGM No. Gateway EGM Date Gateway Site ID Error Code
N.A.  INNSA1  133604  2017-08-19 00:00:00.0  INNSA1  S  Total</t>
  </si>
  <si>
    <t>AWB No. Gateway Port Gateway EGM No. Gateway EGM Date Gateway Site ID Error Code
N.A.  INNSA1  133611  2017-08-21 00:00:00.0  INNSA1  S  Total</t>
  </si>
  <si>
    <t>AWB No. Gateway Port Gateway EGM No. Gateway EGM Date Gateway Site ID Error Code
N.A.  INNSA1  134040  2017-08-28 00:00:00.0  INNSA1  S  Total</t>
  </si>
  <si>
    <t>AWB No. Gateway Port Gateway EGM No. Gateway EGM Date Gateway Site ID Error Code
N.A.  INNSA1  134167  2017-08-29 00:00:00.0  INNSA1  S  Total</t>
  </si>
  <si>
    <t>AWB No. Gateway Port Gateway EGM No. Gateway EGM Date Gateway Site ID Error Code
N.A.  INNSA1  134260  2017-08-31 00:00:00.0  INNSA1  S  Total</t>
  </si>
  <si>
    <t>AWB No. Gateway Port Gateway EGM No. Gateway EGM Date Gateway Site ID Error Code
N.A.  INNSA1  134462  2017-09-04 00:00:00.0  INNSA1  S  Total</t>
  </si>
  <si>
    <t>AWB No. Gateway Port Gateway EGM No. Gateway EGM Date Gateway Site ID Error Code
N.A.  INNSA1  134474  2017-09-04 00:00:00.0  INNSA1  C  Total</t>
  </si>
  <si>
    <t>AWB No. Gateway Port Gateway EGM No. Gateway EGM Date Gateway Site ID Error Code
N.A.  INNSA1  134474  2017-09-04 00:00:00.0  INNSA1  S  Total</t>
  </si>
  <si>
    <t>AWB No. Gateway Port Gateway EGM No. Gateway EGM Date Gateway Site ID Error Code
N.A.  INNSA1  134500  2017-09-04 00:00:00.0  INNSA1  STC  Total</t>
  </si>
  <si>
    <t>AWB No. Gateway Port Gateway EGM No. Gateway EGM Date Gateway Site ID Error Code
N.A.  INNSA1  134549  2017-09-05 00:00:00.0  INNSA1  S  Total</t>
  </si>
  <si>
    <t>AWB No. Gateway Port Gateway EGM No. Gateway EGM Date Gateway Site ID Error Code
N.A.  INNSA1  134677  2017-09-07 00:00:00.0  INNSA1  S  Total</t>
  </si>
  <si>
    <t>AWB No. Gateway Port Gateway EGM No. Gateway EGM Date Gateway Site ID Error Code
N.A.  INNSA1  134681  2017-09-07 00:00:00.0  INNSA1  S  Total</t>
  </si>
  <si>
    <t>AWB No. Gateway Port Gateway EGM No. Gateway EGM Date Gateway Site ID Error Code
N.A.  INNSA1  134711  2017-09-07 00:00:00.0  INNSA1  ST  Total</t>
  </si>
  <si>
    <t>AWB No. Gateway Port Gateway EGM No. Gateway EGM Date Gateway Site ID Error Code
N.A.  INNSA1  134741  2017-09-08 00:00:00.0  INNSA1  S  Total</t>
  </si>
  <si>
    <t>AWB No. Gateway Port Gateway EGM No. Gateway EGM Date Gateway Site ID Error Code
N.A.  INNSA1  134766  2017-09-08 00:00:00.0  INNSA1  S  Total</t>
  </si>
  <si>
    <t>AWB No. Gateway Port Gateway EGM No. Gateway EGM Date Gateway Site ID Error Code
N.A.  INNSA1  134875  2017-09-11 00:00:00.0  INNSA1  S  Total</t>
  </si>
  <si>
    <t>AWB No. Gateway Port Gateway EGM No. Gateway EGM Date Gateway Site ID Error Code
N.A.  INNSA1  134930  2017-09-12 00:00:00.0  INNSA1  C  Total</t>
  </si>
  <si>
    <t>AWB No. Gateway Port Gateway EGM No. Gateway EGM Date Gateway Site ID Error Code
N.A.  INNSA1  134938  2017-09-12 00:00:00.0  INNSA1  S  Total</t>
  </si>
  <si>
    <t>AWB No. Gateway Port Gateway EGM No. Gateway EGM Date Gateway Site ID Error Code
N.A.  INNSA1  135065  2017-09-14 00:00:00.0  INNSA1  S  Total</t>
  </si>
  <si>
    <t>AWB No. Gateway Port Gateway EGM No. Gateway EGM Date Gateway Site ID Error Code
N.A.  INNSA1  135068  2017-09-14 00:00:00.0  INNSA1  S  Total</t>
  </si>
  <si>
    <t>AWB No. Gateway Port Gateway EGM No. Gateway EGM Date Gateway Site ID Error Code
N.A.  INNSA1  135086  2017-09-14 00:00:00.0  INNSA1  S  Total</t>
  </si>
  <si>
    <t>AWB No. Gateway Port Gateway EGM No. Gateway EGM Date Gateway Site ID Error Code
N.A.  INNSA1  135119  2017-09-14 00:00:00.0  INNSA1  S  Total</t>
  </si>
  <si>
    <t>AWB No. Gateway Port Gateway EGM No. Gateway EGM Date Gateway Site ID Error Code
N.A.  INNSA1  135126  2017-09-14 00:00:00.0  INNSA1  S  Total</t>
  </si>
  <si>
    <t>AWB No. Gateway Port Gateway EGM No. Gateway EGM Date Gateway Site ID Error Code
N.A.  INNSA1  135192  2017-09-15 00:00:00.0  INNSA1  S  Total</t>
  </si>
  <si>
    <t>AWB No. Gateway Port Gateway EGM No. Gateway EGM Date Gateway Site ID Error Code
N.A.  INNSA1  135239  2017-09-18 00:00:00.0  INNSA1  S  Total</t>
  </si>
  <si>
    <t>AWB No. Gateway Port Gateway EGM No. Gateway EGM Date Gateway Site ID Error Code
N.A.  INNSA1  135331  2017-09-19 00:00:00.0  INNSA1  S  Total</t>
  </si>
  <si>
    <t>AWB No. Gateway Port Gateway EGM No. Gateway EGM Date Gateway Site ID Error Code
N.A.  INNSA1  135349  2017-09-19 00:00:00.0  INNSA1  C  Total</t>
  </si>
  <si>
    <t>AWB No. Gateway Port Gateway EGM No. Gateway EGM Date Gateway Site ID Error Code
N.A.  INNSA1  135503  2017-09-21 00:00:00.0  INNSA1  C  Total</t>
  </si>
  <si>
    <t>AWB No. Gateway Port Gateway EGM No. Gateway EGM Date Gateway Site ID Error Code
N.A.  INNSA1  135507  2017-09-21 00:00:00.0  INNSA1  S  Total</t>
  </si>
  <si>
    <t>AWB No. Gateway Port Gateway EGM No. Gateway EGM Date Gateway Site ID Error Code
N.A.  INNSA1  135603  2017-09-22 00:00:00.0  INNSA1  S  Total</t>
  </si>
  <si>
    <t>AWB No. Gateway Port Gateway EGM No. Gateway EGM Date Gateway Site ID Error Code
N.A.  INNSA1  135726  2017-09-25 00:00:00.0  INNSA1  S  Total</t>
  </si>
  <si>
    <t>AWB No. Gateway Port Gateway EGM No. Gateway EGM Date Gateway Site ID Error Code
N.A.  INNSA1  135731  2017-09-25 00:00:00.0  INNSA1  S  Total</t>
  </si>
  <si>
    <t>AWB No. Gateway Port Gateway EGM No. Gateway EGM Date Gateway Site ID Error Code
N.A.  INNSA1  135755  2017-09-25 00:00:00.0  INNSA1  NC  Total</t>
  </si>
  <si>
    <t>AWB No. Gateway Port Gateway EGM No. Gateway EGM Date Gateway Site ID Error Code
N.A.  INNSA1  135895  2017-09-27 00:00:00.0  INNSA1  S  Total</t>
  </si>
  <si>
    <t>AWB No. Gateway Port Gateway EGM No. Gateway EGM Date Gateway Site ID Error Code
N.A.  INNSA1  136123  2017-10-02 00:00:00.0  INNSA1  S  Total</t>
  </si>
  <si>
    <t>AWB No. Gateway Port Gateway EGM No. Gateway EGM Date Gateway Site ID Error Code
N.A.  INNSA1  136144  2017-10-03 00:00:00.0  INNSA1  C  Total</t>
  </si>
  <si>
    <t>AWB No. Gateway Port Gateway EGM No. Gateway EGM Date Gateway Site ID Error Code
N.A.  INNSA1  136151  2017-10-03 00:00:00.0  INNSA1  S  Total</t>
  </si>
  <si>
    <t>AWB No. Gateway Port Gateway EGM No. Gateway EGM Date Gateway Site ID Error Code
N.A.  INNSA1  136158  2017-10-03 00:00:00.0  INNSA1  S  Total</t>
  </si>
  <si>
    <t>AWB No. Gateway Port Gateway EGM No. Gateway EGM Date Gateway Site ID Error Code
N.A.  INNSA1  136163  2017-10-03 00:00:00.0  INNSA1  C  Total</t>
  </si>
  <si>
    <t>AWB No. Gateway Port Gateway EGM No. Gateway EGM Date Gateway Site ID Error Code
N.A.  INNSA1  136204  2017-10-03 00:00:00.0  INNSA1  S  Total</t>
  </si>
  <si>
    <t>AWB No. Gateway Port Gateway EGM No. Gateway EGM Date Gateway Site ID Error Code
N.A.  INNSA1  136236  2017-10-04 00:00:00.0  INNSA1  C  Total</t>
  </si>
  <si>
    <t>AWB No. Gateway Port Gateway EGM No. Gateway EGM Date Gateway Site ID Error Code
N.A.  INNSA1  136238  2017-10-04 00:00:00.0  INNSA1  S  Total</t>
  </si>
  <si>
    <t>AWB No. Gateway Port Gateway EGM No. Gateway EGM Date Gateway Site ID Error Code
N.A.  INNSA1  136252  2017-10-04 00:00:00.0  INNSA1  S  Total</t>
  </si>
  <si>
    <t>AWB No. Gateway Port Gateway EGM No. Gateway EGM Date Gateway Site ID Error Code
N.A.  INNSA1  136637  2017-10-10 00:00:00.0  INNSA1  C  Total</t>
  </si>
  <si>
    <t>AWB No. Gateway Port Gateway EGM No. Gateway EGM Date Gateway Site ID Error Code
N.A.  INNSA1  136639  2017-10-10 00:00:00.0  INNSA1  S  Total</t>
  </si>
  <si>
    <t>AWB No. Gateway Port Gateway EGM No. Gateway EGM Date Gateway Site ID Error Code
N.A.  INNSA1  136648  2017-10-10 00:00:00.0  INNSA1  C  Total</t>
  </si>
  <si>
    <t>AWB No. Gateway Port Gateway EGM No. Gateway EGM Date Gateway Site ID Error Code
N.A.  INNSA1  136898  2017-10-13 00:00:00.0  INNSA1  S  Total</t>
  </si>
  <si>
    <t>AWB No. Gateway Port Gateway EGM No. Gateway EGM Date Gateway Site ID Error Code
N.A.  INNSA1  137096  2017-10-17 00:00:00.0  INNSA1  C  Total</t>
  </si>
  <si>
    <t>AWB No. Gateway Port Gateway EGM No. Gateway EGM Date Gateway Site ID Error Code
N.A.  INNSA1  137147  2017-10-18 00:00:00.0  INNSA1  C  Total</t>
  </si>
  <si>
    <t>AWB No. Gateway Port Gateway EGM No. Gateway EGM Date Gateway Site ID Error Code
N.A.  INNSA1  137147  2017-10-18 00:00:00.0  INNSA1  S  Total</t>
  </si>
  <si>
    <t>AWB No. Gateway Port Gateway EGM No. Gateway EGM Date Gateway Site ID Error Code
N.A.  INNSA1  137304  2017-10-23 00:00:00.0  INNSA1  S  Total</t>
  </si>
  <si>
    <t>AWB No. Gateway Port Gateway EGM No. Gateway EGM Date Gateway Site ID Error Code
N.A.  INNSA1  137348  2017-10-23 00:00:00.0  INNSA1  S  Total</t>
  </si>
  <si>
    <t>AWB No. Gateway Port Gateway EGM No. Gateway EGM Date Gateway Site ID Error Code
N.A.  INNSA1  137353  2017-10-23 00:00:00.0  INNSA1  C  Total</t>
  </si>
  <si>
    <t>AWB No. Gateway Port Gateway EGM No. Gateway EGM Date Gateway Site ID Error Code
N.A.  INNSA1  137366  2017-10-23 00:00:00.0  INNSA1  S  Total</t>
  </si>
  <si>
    <t>AWB No. Gateway Port Gateway EGM No. Gateway EGM Date Gateway Site ID Error Code
N.A.  INNSA1  137367  2017-10-23 00:00:00.0  INNSA1  S  Total</t>
  </si>
  <si>
    <t>AWB No. Gateway Port Gateway EGM No. Gateway EGM Date Gateway Site ID Error Code
N.A.  INNSA1  137370  2017-10-23 00:00:00.0  INNSA1  C  Total</t>
  </si>
  <si>
    <t>AWB No. Gateway Port Gateway EGM No. Gateway EGM Date Gateway Site ID Error Code
N.A.  INNSA1  137386  2017-10-23 00:00:00.0  INNSA1  S  Total</t>
  </si>
  <si>
    <t>AWB No. Gateway Port Gateway EGM No. Gateway EGM Date Gateway Site ID Error Code
N.A.  INNSA1  137453  2017-10-24 00:00:00.0  INNSA1  C  Total</t>
  </si>
  <si>
    <t>AWB No. Gateway Port Gateway EGM No. Gateway EGM Date Gateway Site ID Error Code
N.A.  INNSA1  137830  2017-10-30 00:00:00.0  INNSA1  S  Total</t>
  </si>
  <si>
    <t>AWB No. Gateway Port Gateway EGM No. Gateway EGM Date Gateway Site ID Error Code
N.A.  INNSA1  137889  2017-10-31 00:00:00.0  INNSA1  S  Total</t>
  </si>
  <si>
    <t>AWB No. Gateway Port Gateway EGM No. Gateway EGM Date Gateway Site ID Error Code
N.A.  INNSA1  137969  2017-11-01 00:00:00.0  INNSA1  C  Total</t>
  </si>
  <si>
    <t>AWB No. Gateway Port Gateway EGM No. Gateway EGM Date Gateway Site ID Error Code
N.A.  INNSA1  138138  2017-11-03 00:00:00.0  INNSA1  C  Total</t>
  </si>
  <si>
    <t>AWB No. Gateway Port Gateway EGM No. Gateway EGM Date Gateway Site ID Error Code
N.A.  INNSA1  138138  2017-11-03 00:00:00.0  INNSA1  S  Total</t>
  </si>
  <si>
    <t>AWB No. Gateway Port Gateway EGM No. Gateway EGM Date Gateway Site ID Error Code
N.A.  INNSA1  138232  2017-11-06 00:00:00.0  INNSA1  N  Total</t>
  </si>
  <si>
    <t>AWB No. Gateway Port Gateway EGM No. Gateway EGM Date Gateway Site ID Error Code
N.A.  INNSA1  138234  2017-11-06 00:00:00.0  INNSA1  S  Total</t>
  </si>
  <si>
    <t>AWB No. Gateway Port Gateway EGM No. Gateway EGM Date Gateway Site ID Error Code
N.A.  INNSA1  138449  2017-11-09 00:00:00.0  INNSA1  S  Total</t>
  </si>
  <si>
    <t>AWB No. Gateway Port Gateway EGM No. Gateway EGM Date Gateway Site ID Error Code
N.A.  INNSA1  138455  2017-11-09 00:00:00.0  INNSA1  S  Total</t>
  </si>
  <si>
    <t>AWB No. Gateway Port Gateway EGM No. Gateway EGM Date Gateway Site ID Error Code
N.A.  INNSA1  138478  2017-11-09 00:00:00.0  INNSA1  S  Total</t>
  </si>
  <si>
    <t>AWB No. Gateway Port Gateway EGM No. Gateway EGM Date Gateway Site ID Error Code
N.A.  INNSA1  138641  2017-11-13 00:00:00.0  INNSA1  S  Total</t>
  </si>
  <si>
    <t>AWB No. Gateway Port Gateway EGM No. Gateway EGM Date Gateway Site ID Error Code
N.A.  INNSA1  138710  2017-11-13 00:00:00.0  INNSA1  S  Total</t>
  </si>
  <si>
    <t>AWB No. Gateway Port Gateway EGM No. Gateway EGM Date Gateway Site ID Error Code
N.A.  INNSA1  138732  2017-11-14 00:00:00.0  INNSA1  S  Total</t>
  </si>
  <si>
    <t>AWB No. Gateway Port Gateway EGM No. Gateway EGM Date Gateway Site ID Error Code
N.A.  INNSA1  138758  2017-11-14 00:00:00.0  INNSA1  S  Total</t>
  </si>
  <si>
    <t>AWB No. Gateway Port Gateway EGM No. Gateway EGM Date Gateway Site ID Error Code
N.A.  INNSA1  138837  2017-11-15 00:00:00.0  INNSA1  S  Total</t>
  </si>
  <si>
    <t>AWB No. Gateway Port Gateway EGM No. Gateway EGM Date Gateway Site ID Error Code
N.A.  INNSA1  139138  2017-11-20 00:00:00.0  INNSA1  S  Total</t>
  </si>
  <si>
    <t>AWB No. Gateway Port Gateway EGM No. Gateway EGM Date Gateway Site ID Error Code
N.A.  INNSA1  139142  2017-11-20 00:00:00.0  INNSA1  S  Total</t>
  </si>
  <si>
    <t>AWB No. Gateway Port Gateway EGM No. Gateway EGM Date Gateway Site ID Error Code
N.A.  INNSA1  139301  2017-11-22 00:00:00.0  INNSA1  S  Total</t>
  </si>
  <si>
    <t>AWB No. Gateway Port Gateway EGM No. Gateway EGM Date Gateway Site ID Error Code
N.A.  INNSA1  139557  2017-11-27 00:00:00.0  INNSA1  S  Total</t>
  </si>
  <si>
    <t>AWB No. Gateway Port Gateway EGM No. Gateway EGM Date Gateway Site ID Error Code
N.A.  INNSA1  139647  2017-11-28 00:00:00.0  INNSA1  S  Total</t>
  </si>
  <si>
    <t>AWB No. Gateway Port Gateway EGM No. Gateway EGM Date Gateway Site ID Error Code
N.A.  INNSA1  139757  2017-11-29 00:00:00.0  INNSA1  S  Total</t>
  </si>
  <si>
    <t>AWB No. Gateway Port Gateway EGM No. Gateway EGM Date Gateway Site ID Error Code
N.A.  INNSA1  139773  2017-11-29 00:00:00.0  INNSA1  S  Total</t>
  </si>
  <si>
    <t>AWB No. Gateway Port Gateway EGM No. Gateway EGM Date Gateway Site ID Error Code
N.A.  INNSA1  139792  2017-11-30 00:00:00.0  INNSA1  S  Total</t>
  </si>
  <si>
    <t>AWB No. Gateway Port Gateway EGM No. Gateway EGM Date Gateway Site ID Error Code
N.A.  INNSA1  139986  2017-12-04 00:00:00.0  INNSA1  S  Total</t>
  </si>
  <si>
    <t>AWB No. Gateway Port Gateway EGM No. Gateway EGM Date Gateway Site ID Error Code
N.A.  INNSA1  139999  2017-12-04 00:00:00.0  INNSA1  S  Total</t>
  </si>
  <si>
    <t>AWB No. Gateway Port Gateway EGM No. Gateway EGM Date Gateway Site ID Error Code
N.A.  INNSA1  140041  2017-12-05 00:00:00.0  INNSA1  S  Total</t>
  </si>
  <si>
    <t>AWB No. Gateway Port Gateway EGM No. Gateway EGM Date Gateway Site ID Error Code
N.A.  INNSA1  140047  2017-12-05 00:00:00.0  INNSA1  S  Total</t>
  </si>
  <si>
    <t>AWB No. Gateway Port Gateway EGM No. Gateway EGM Date Gateway Site ID Error Code
N.A.  INNSA1  140365  2017-12-08 00:00:00.0  INNSA1  N  Total</t>
  </si>
  <si>
    <t>AWB No. Gateway Port Gateway EGM No. Gateway EGM Date Gateway Site ID Error Code
N.A.  INNSA1  140402  2017-12-11 00:00:00.0  INNSA1  S  Total</t>
  </si>
  <si>
    <t>AWB No. Gateway Port Gateway EGM No. Gateway EGM Date Gateway Site ID Error Code
N.A.  INNSA1  140472  2017-12-12 00:00:00.0  INNSA1  S  Total</t>
  </si>
  <si>
    <t>AWB No. Gateway Port Gateway EGM No. Gateway EGM Date Gateway Site ID Error Code
N.A.  INNSA1  140487  2017-12-12 00:00:00.0  INNSA1  S  Total</t>
  </si>
  <si>
    <t>AWB No. Gateway Port Gateway EGM No. Gateway EGM Date Gateway Site ID Error Code
N.A.  INNSA1  140586  2017-12-12 00:00:00.0  INNSA1  S  Total</t>
  </si>
  <si>
    <t>AWB No. Gateway Port Gateway EGM No. Gateway EGM Date Gateway Site ID Error Code
N.A.  INNSA1  140677  2017-12-14 00:00:00.0  INNSA1  S  Total</t>
  </si>
  <si>
    <t>AWB No. Gateway Port Gateway EGM No. Gateway EGM Date Gateway Site ID Error Code
N.A.  INNSA1  140724  2017-12-15 00:00:00.0  INNSA1  S  Total</t>
  </si>
  <si>
    <t>AWB No. Gateway Port Gateway EGM No. Gateway EGM Date Gateway Site ID Error Code
N.A.  INNSA1  140726  2017-12-15 00:00:00.0  INNSA1  C  Total</t>
  </si>
  <si>
    <t>AWB No. Gateway Port Gateway EGM No. Gateway EGM Date Gateway Site ID Error Code
N.A.  INNSA1  141039  2017-12-20 00:00:00.0  INNSA1  S  Total</t>
  </si>
  <si>
    <t>AWB No. Gateway Port Gateway EGM No. Gateway EGM Date Gateway Site ID Error Code
N.A.  INNSA1  141083  2017-12-21 00:00:00.0  INNSA1  C  Total</t>
  </si>
  <si>
    <t>AWB No. Gateway Port Gateway EGM No. Gateway EGM Date Gateway Site ID Error Code
N.A.  INNSA1  141116  2017-12-21 00:00:00.0  INNSA1  S  Total</t>
  </si>
  <si>
    <t>AWB No. Gateway Port Gateway EGM No. Gateway EGM Date Gateway Site ID Error Code
N.A.  INNSA1  141170  2017-12-22 00:00:00.0  INNSA1  S  Total</t>
  </si>
  <si>
    <t>AWB No. Gateway Port Gateway EGM No. Gateway EGM Date Gateway Site ID Error Code
N.A.  INNSA1  141344  2017-12-26 00:00:00.0  INNSA1  C  Total</t>
  </si>
  <si>
    <t>AWB No. Gateway Port Gateway EGM No. Gateway EGM Date Gateway Site ID Error Code
N.A.  INNSA1  141394  2017-12-26 00:00:00.0  INNSA1  S  Total</t>
  </si>
  <si>
    <t>AWB No. Gateway Port Gateway EGM No. Gateway EGM Date Gateway Site ID Error Code
N.A.  INNSA1  141463  2017-12-27 00:00:00.0  INNSA1  S  Total</t>
  </si>
  <si>
    <t>AWB No. Gateway Port Gateway EGM No. Gateway EGM Date Gateway Site ID Error Code
N.A.  INNSA1  142173  2018-01-08 00:00:00.0  INNSA1  S  Total</t>
  </si>
  <si>
    <t>AWB No. Gateway Port Gateway EGM No. Gateway EGM Date Gateway Site ID Error Code
N.A.  INNSA1  169501  2019-03-29 00:00:00.0  INNSA1  S  Total</t>
  </si>
  <si>
    <t>AWB No. Gateway Port Gateway EGM No. Gateway EGM Date Gateway Site ID Error Code
N.A.  INNSA1  N.A.  N.A.  N.A.  N.A.  Total</t>
  </si>
  <si>
    <t>AWB No. Gateway Port Gateway EGM No. Gateway EGM Date Gateway Site ID Error Code
N.A.  INPAV1  131777  2017-07-19 00:00:00.0  INPAV1  L  Total</t>
  </si>
  <si>
    <t>AWB No. Gateway Port Gateway EGM No. Gateway EGM Date Gateway Site ID Error Code
N.A.  INPAV1  132205  2017-07-26 00:00:00.0  INPAV1  S  Total</t>
  </si>
  <si>
    <t>AWB No. Gateway Port Gateway EGM No. Gateway EGM Date Gateway Site ID Error Code
N.A.  INPAV1  132210  2017-07-26 00:00:00.0  INPAV1  S  Total</t>
  </si>
  <si>
    <t>AWB No. Gateway Port Gateway EGM No. Gateway EGM Date Gateway Site ID Error Code
N.A.  INPAV1  132215  2017-07-26 00:00:00.0  INPAV1  S  Total</t>
  </si>
  <si>
    <t>AWB No. Gateway Port Gateway EGM No. Gateway EGM Date Gateway Site ID Error Code
N.A.  INPAV1  132218  2017-07-26 00:00:00.0  INPAV1  S  Total</t>
  </si>
  <si>
    <t>AWB No. Gateway Port Gateway EGM No. Gateway EGM Date Gateway Site ID Error Code
N.A.  INPAV1  133387  2017-08-16 00:00:00.0  INPAV1  S  Total</t>
  </si>
  <si>
    <t>AWB No. Gateway Port Gateway EGM No. Gateway EGM Date Gateway Site ID Error Code
N.A.  INPAV1  133808  2017-08-24 00:00:00.0  INPAV1  S  Total</t>
  </si>
  <si>
    <t>AWB No. Gateway Port Gateway EGM No. Gateway EGM Date Gateway Site ID Error Code
N.A.  INPAV1  134057  2017-08-28 00:00:00.0  INPAV1  S  Total</t>
  </si>
  <si>
    <t>AWB No. Gateway Port Gateway EGM No. Gateway EGM Date Gateway Site ID Error Code
N.A.  INPAV1  134063  2017-08-28 00:00:00.0  INPAV1  S  Total</t>
  </si>
  <si>
    <t>AWB No. Gateway Port Gateway EGM No. Gateway EGM Date Gateway Site ID Error Code
N.A.  INPAV1  134066  2017-08-28 00:00:00.0  INPAV1  S  Total</t>
  </si>
  <si>
    <t>AWB No. Gateway Port Gateway EGM No. Gateway EGM Date Gateway Site ID Error Code
N.A.  INPAV1  134074  2017-08-28 00:00:00.0  INPAV1  S  Total</t>
  </si>
  <si>
    <t>AWB No. Gateway Port Gateway EGM No. Gateway EGM Date Gateway Site ID Error Code
N.A.  INPAV1  134495  2017-09-04 00:00:00.0  INPAV1  S  Total</t>
  </si>
  <si>
    <t>AWB No. Gateway Port Gateway EGM No. Gateway EGM Date Gateway Site ID Error Code
N.A.  INPAV1  134667  2017-09-07 00:00:00.0  INMAA1  MC  Total</t>
  </si>
  <si>
    <t>AWB No. Gateway Port Gateway EGM No. Gateway EGM Date Gateway Site ID Error Code
N.A.  INPAV1  137330  2017-10-23 00:00:00.0  INPAV1  S  Total</t>
  </si>
  <si>
    <t>AWB No. Gateway Port Gateway EGM No. Gateway EGM Date Gateway Site ID Error Code
N.A.  INPAV1  137989  2017-11-01 00:00:00.0  INPAV1  S  Total</t>
  </si>
  <si>
    <t>AWB No. Gateway Port Gateway EGM No. Gateway EGM Date Gateway Site ID Error Code
N.A.  INPAV1  137999  2017-11-01 00:00:00.0  INPAV1  S  Total</t>
  </si>
  <si>
    <t>AWB No. Gateway Port Gateway EGM No. Gateway EGM Date Gateway Site ID Error Code
N.A.  INPAV1  138356  2017-11-07 00:00:00.0  INPAV1  S  Total</t>
  </si>
  <si>
    <t>AWB No. Gateway Port Gateway EGM No. Gateway EGM Date Gateway Site ID Error Code
N.A.  INPAV1  139653  2017-11-28 00:00:00.0  INPAV1  S  Total</t>
  </si>
  <si>
    <t>AWB No. Gateway Port Gateway EGM No. Gateway EGM Date Gateway Site ID Error Code
N.A.  INPAV1  139963  2017-12-04 00:00:00.0  INPAV1  S  Total</t>
  </si>
  <si>
    <t>AWB No. Gateway Port Gateway EGM No. Gateway EGM Date Gateway Site ID Error Code
N.A.  INPAV1  139966  2017-12-04 00:00:00.0  INPAV1  S  Total</t>
  </si>
  <si>
    <t>AWB No. Gateway Port Gateway EGM No. Gateway EGM Date Gateway Site ID Error Code
N.A.  INPAV1  140083  2017-12-05 00:00:00.0  INPAV1  S  Total</t>
  </si>
  <si>
    <t>AWB No. Gateway Port Gateway EGM No. Gateway EGM Date Gateway Site ID Error Code
N.A.  INPAV1  140831  2017-12-18 00:00:00.0  INPAV1  S  Total</t>
  </si>
  <si>
    <t>AWB No. Gateway Port Gateway EGM No. Gateway EGM Date Gateway Site ID Error Code
N.A.  INPAV1  141634  2017-12-29 00:00:00.0  INPAV1  S  Total</t>
  </si>
  <si>
    <t>No Record found Total</t>
  </si>
  <si>
    <t>Please Wait.... Total</t>
  </si>
  <si>
    <t>SUM of SB no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</si>
</sst>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color theme="1"/>
      <name val="Aptos Narrow"/>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80" sheet="Raw_Data"/>
  </cacheSource>
  <cacheFields>
    <cacheField name="PORT Code" numFmtId="0">
      <sharedItems>
        <s v="TUGLAKABAD ICD (INTKD6)"/>
      </sharedItems>
    </cacheField>
    <cacheField name="SB no" numFmtId="0">
      <sharedItems containsSemiMixedTypes="0" containsString="0" containsNumber="1" containsInteger="1">
        <n v="7096937.0"/>
        <n v="7100605.0"/>
        <n v="7183827.0"/>
        <n v="7603758.0"/>
        <n v="7616933.0"/>
        <n v="7623801.0"/>
        <n v="7638661.0"/>
        <n v="7640213.0"/>
        <n v="7641404.0"/>
        <n v="7641415.0"/>
        <n v="7642279.0"/>
        <n v="7646561.0"/>
        <n v="7649257.0"/>
        <n v="7662086.0"/>
        <n v="7690771.0"/>
        <n v="7692707.0"/>
        <n v="7703453.0"/>
        <n v="7712075.0"/>
        <n v="7718281.0"/>
        <n v="7721241.0"/>
        <n v="7742310.0"/>
        <n v="7747150.0"/>
        <n v="7751210.0"/>
        <n v="7759192.0"/>
        <n v="7764000.0"/>
        <n v="7764312.0"/>
        <n v="7772989.0"/>
        <n v="7774110.0"/>
        <n v="7778178.0"/>
        <n v="7782282.0"/>
        <n v="7791798.0"/>
        <n v="7794172.0"/>
        <n v="7795473.0"/>
        <n v="7796181.0"/>
        <n v="7800720.0"/>
        <n v="7804407.0"/>
        <n v="7812525.0"/>
        <n v="7826835.0"/>
        <n v="7835799.0"/>
        <n v="7849871.0"/>
        <n v="7852739.0"/>
        <n v="7862536.0"/>
        <n v="7877440.0"/>
        <n v="7891039.0"/>
        <n v="7891796.0"/>
        <n v="7903729.0"/>
        <n v="7905312.0"/>
        <n v="7909008.0"/>
        <n v="7918086.0"/>
        <n v="7924066.0"/>
        <n v="7935521.0"/>
        <n v="7944561.0"/>
        <n v="7945866.0"/>
        <n v="7955843.0"/>
        <n v="7958295.0"/>
        <n v="7961683.0"/>
        <n v="7968231.0"/>
        <n v="7970037.0"/>
        <n v="7970441.0"/>
        <n v="7971432.0"/>
        <n v="7984652.0"/>
        <n v="8018847.0"/>
        <n v="8022473.0"/>
        <n v="8035307.0"/>
        <n v="8039228.0"/>
        <n v="8055596.0"/>
        <n v="8061134.0"/>
        <n v="8065467.0"/>
        <n v="8065602.0"/>
        <n v="8067051.0"/>
        <n v="8086454.0"/>
        <n v="8090388.0"/>
        <n v="8091385.0"/>
        <n v="8102896.0"/>
        <n v="8122393.0"/>
        <n v="8128641.0"/>
        <n v="8140525.0"/>
        <n v="8140947.0"/>
        <n v="8144422.0"/>
        <n v="8146066.0"/>
        <n v="8146068.0"/>
        <n v="8159434.0"/>
        <n v="8160683.0"/>
        <n v="8169500.0"/>
        <n v="8170873.0"/>
        <n v="8173971.0"/>
        <n v="8180485.0"/>
        <n v="8190870.0"/>
        <n v="8201692.0"/>
        <n v="8204016.0"/>
        <n v="8216051.0"/>
        <n v="8216744.0"/>
        <n v="8220992.0"/>
        <n v="8222240.0"/>
        <n v="8228343.0"/>
        <n v="8234289.0"/>
        <n v="8235656.0"/>
        <n v="8239122.0"/>
        <n v="8239128.0"/>
        <n v="8239129.0"/>
        <n v="8241970.0"/>
        <n v="8241971.0"/>
        <n v="8241978.0"/>
        <n v="8247826.0"/>
        <n v="8249349.0"/>
        <n v="8263241.0"/>
        <n v="8288523.0"/>
        <n v="8290768.0"/>
        <n v="8290787.0"/>
        <n v="8304313.0"/>
        <n v="8305029.0"/>
        <n v="8322996.0"/>
        <n v="8323127.0"/>
        <n v="8325105.0"/>
        <n v="8338701.0"/>
        <n v="8338807.0"/>
        <n v="8338839.0"/>
        <n v="8340706.0"/>
        <n v="8348694.0"/>
        <n v="8361009.0"/>
        <n v="8371290.0"/>
        <n v="8375057.0"/>
        <n v="8395136.0"/>
        <n v="8395644.0"/>
        <n v="8398137.0"/>
        <n v="8411392.0"/>
        <n v="8424214.0"/>
        <n v="8424711.0"/>
        <n v="8425293.0"/>
        <n v="8439375.0"/>
        <n v="8439383.0"/>
        <n v="8439422.0"/>
        <n v="8452436.0"/>
        <n v="8457825.0"/>
        <n v="8462659.0"/>
        <n v="8466834.0"/>
        <n v="8469058.0"/>
        <n v="8471397.0"/>
        <n v="8483178.0"/>
        <n v="8486246.0"/>
        <n v="8488643.0"/>
        <n v="8493626.0"/>
        <n v="8502112.0"/>
        <n v="8513208.0"/>
        <n v="8528718.0"/>
        <n v="8533887.0"/>
        <n v="8551635.0"/>
        <n v="8576060.0"/>
        <n v="8579468.0"/>
        <n v="8581999.0"/>
        <n v="8584007.0"/>
        <n v="8584704.0"/>
        <n v="8600398.0"/>
        <n v="8602587.0"/>
        <n v="8605254.0"/>
        <n v="8607213.0"/>
        <n v="8607674.0"/>
        <n v="8608392.0"/>
        <n v="8608445.0"/>
        <n v="8608455.0"/>
        <n v="8608463.0"/>
        <n v="8608521.0"/>
        <n v="8610604.0"/>
        <n v="8612296.0"/>
        <n v="8615986.0"/>
        <n v="8620347.0"/>
        <n v="8660236.0"/>
        <n v="8661641.0"/>
        <n v="8687607.0"/>
        <n v="8697591.0"/>
        <n v="8708114.0"/>
        <n v="8709897.0"/>
        <n v="8749638.0"/>
        <n v="8751355.0"/>
        <n v="8752612.0"/>
        <n v="8752787.0"/>
        <n v="8775656.0"/>
        <n v="8783035.0"/>
        <n v="8784077.0"/>
        <n v="8794182.0"/>
        <n v="8796298.0"/>
        <n v="8826748.0"/>
        <n v="8848896.0"/>
        <n v="8849157.0"/>
        <n v="8876829.0"/>
        <n v="8876935.0"/>
        <n v="8898683.0"/>
        <n v="8909116.0"/>
        <n v="8909119.0"/>
        <n v="8909141.0"/>
        <n v="8909143.0"/>
        <n v="8909148.0"/>
        <n v="8910761.0"/>
        <n v="8913772.0"/>
        <n v="8937407.0"/>
        <n v="8942181.0"/>
        <n v="8942185.0"/>
        <n v="8961510.0"/>
        <n v="8961708.0"/>
        <n v="8964619.0"/>
        <n v="8966600.0"/>
        <n v="8967109.0"/>
        <n v="8967731.0"/>
        <n v="8999430.0"/>
        <n v="9000406.0"/>
        <n v="9003019.0"/>
        <n v="9009228.0"/>
        <n v="9029616.0"/>
        <n v="9049883.0"/>
        <n v="9064900.0"/>
        <n v="9073097.0"/>
        <n v="9086361.0"/>
        <n v="9089004.0"/>
        <n v="9093386.0"/>
        <n v="9096262.0"/>
        <n v="9098433.0"/>
        <n v="9122323.0"/>
        <n v="9131041.0"/>
        <n v="9136843.0"/>
        <n v="9137886.0"/>
        <n v="9150741.0"/>
        <n v="9161051.0"/>
        <n v="9203657.0"/>
        <n v="9212445.0"/>
        <n v="9225719.0"/>
        <n v="9226280.0"/>
        <n v="9234919.0"/>
        <n v="9246037.0"/>
        <n v="9312599.0"/>
        <n v="9323426.0"/>
        <n v="9330767.0"/>
        <n v="9344909.0"/>
        <n v="9346238.0"/>
        <n v="9353344.0"/>
        <n v="9361492.0"/>
        <n v="9425848.0"/>
        <n v="9474719.0"/>
        <n v="9492580.0"/>
        <n v="9510284.0"/>
        <n v="9522381.0"/>
        <n v="9531547.0"/>
        <n v="9535945.0"/>
        <n v="9536682.0"/>
        <n v="9565498.0"/>
        <n v="9572277.0"/>
        <n v="9575454.0"/>
        <n v="9580505.0"/>
        <n v="9597287.0"/>
        <n v="9603076.0"/>
        <n v="9612572.0"/>
        <n v="9626392.0"/>
        <n v="9653631.0"/>
        <n v="9675183.0"/>
        <n v="9683009.0"/>
        <n v="9683904.0"/>
        <n v="9687200.0"/>
        <n v="9721864.0"/>
        <n v="9725059.0"/>
        <n v="9731029.0"/>
        <n v="9736929.0"/>
        <n v="9738912.0"/>
        <n v="9741196.0"/>
        <n v="9776960.0"/>
        <n v="9786910.0"/>
        <n v="9791045.0"/>
        <n v="9802291.0"/>
        <n v="9852487.0"/>
        <n v="9929860.0"/>
        <n v="9949379.0"/>
        <n v="9962200.0"/>
        <n v="9962305.0"/>
        <n v="1023575.0"/>
        <n v="1031757.0"/>
        <n v="1042281.0"/>
        <n v="1046425.0"/>
        <n v="1054151.0"/>
        <n v="1062588.0"/>
        <n v="1064566.0"/>
        <n v="1071189.0"/>
        <n v="1071710.0"/>
        <n v="1072758.0"/>
        <n v="1073185.0"/>
        <n v="1090894.0"/>
        <n v="1099071.0"/>
        <n v="1168946.0"/>
        <n v="1181054.0"/>
        <n v="1192194.0"/>
        <n v="1197442.0"/>
        <n v="1206147.0"/>
        <n v="1220745.0"/>
        <n v="1223298.0"/>
        <n v="1223301.0"/>
        <n v="1223387.0"/>
        <n v="1235474.0"/>
        <n v="1247813.0"/>
        <n v="1249499.0"/>
        <n v="1249514.0"/>
        <n v="1252402.0"/>
        <n v="1254519.0"/>
        <n v="1254838.0"/>
        <n v="1255601.0"/>
        <n v="1269121.0"/>
        <n v="1274037.0"/>
        <n v="1277877.0"/>
        <n v="1277880.0"/>
        <n v="1277951.0"/>
        <n v="1310855.0"/>
        <n v="1317115.0"/>
        <n v="1318155.0"/>
        <n v="1318294.0"/>
        <n v="1323400.0"/>
        <n v="1341857.0"/>
        <n v="1349436.0"/>
        <n v="1349513.0"/>
        <n v="1350667.0"/>
        <n v="1364053.0"/>
        <n v="1367821.0"/>
        <n v="1381867.0"/>
        <n v="1386534.0"/>
        <n v="1411047.0"/>
        <n v="1466520.0"/>
        <n v="1468626.0"/>
        <n v="1469621.0"/>
        <n v="1471253.0"/>
        <n v="1474614.0"/>
        <n v="1486982.0"/>
        <n v="1487575.0"/>
        <n v="1487979.0"/>
        <n v="1509191.0"/>
        <n v="1512374.0"/>
        <n v="1521533.0"/>
        <n v="1523411.0"/>
        <n v="1546285.0"/>
        <n v="1547350.0"/>
        <n v="1551135.0"/>
        <n v="1566061.0"/>
        <n v="1568268.0"/>
        <n v="1579668.0"/>
        <n v="1580068.0"/>
        <n v="1609603.0"/>
        <n v="1614481.0"/>
        <n v="1616744.0"/>
        <n v="1622551.0"/>
        <n v="1622558.0"/>
        <n v="1630870.0"/>
        <n v="1657961.0"/>
        <n v="1668810.0"/>
        <n v="1670652.0"/>
        <n v="1671114.0"/>
        <n v="1673346.0"/>
        <n v="1682294.0"/>
        <n v="1694312.0"/>
        <n v="1696466.0"/>
        <n v="1705753.0"/>
        <n v="1718128.0"/>
        <n v="1719344.0"/>
        <n v="1729499.0"/>
        <n v="1752198.0"/>
        <n v="1773410.0"/>
        <n v="1773615.0"/>
        <n v="1779449.0"/>
        <n v="1780079.0"/>
        <n v="1787183.0"/>
        <n v="1789517.0"/>
        <n v="1808535.0"/>
        <n v="1809398.0"/>
        <n v="1811286.0"/>
        <n v="1817413.0"/>
        <n v="1817472.0"/>
        <n v="1838515.0"/>
        <n v="1852350.0"/>
        <n v="1865148.0"/>
        <n v="1865329.0"/>
        <n v="1866627.0"/>
        <n v="1868552.0"/>
        <n v="1899578.0"/>
        <n v="1900474.0"/>
        <n v="1904114.0"/>
        <n v="1905542.0"/>
      </sharedItems>
    </cacheField>
    <cacheField name="SB date" numFmtId="0">
      <sharedItems>
        <s v="2017/07/01"/>
        <s v="2017/07/06"/>
        <s v="2017/07/26"/>
        <s v="2017/07/27"/>
        <s v="2017/07/28"/>
        <s v="2017/07/29"/>
        <s v="2017/07/31"/>
        <s v="2017/08/01"/>
        <s v="2017/08/02"/>
        <s v="2017/08/03"/>
        <s v="2017/08/04"/>
        <s v="2017/08/05"/>
        <s v="2017/08/07"/>
        <s v="2017/08/08"/>
        <s v="2017/08/09"/>
        <s v="2017/08/10"/>
        <s v="2017/08/11"/>
        <s v="2017/08/12"/>
        <s v="2017/08/15"/>
        <s v="2017/08/16"/>
        <s v="2017/08/17"/>
        <s v="2017/08/18"/>
        <s v="2017/08/19"/>
        <s v="2017/08/20"/>
        <s v="2017/08/21"/>
        <s v="2017/08/22"/>
        <s v="2017/08/23"/>
        <s v="2017/08/24"/>
        <s v="2017/08/25"/>
        <s v="2017/08/26"/>
        <s v="2017/08/28"/>
        <s v="2017/08/29"/>
        <s v="2017/08/30"/>
        <s v="2017/08/31"/>
        <s v="2017/09/01"/>
        <s v="2017/09/02"/>
        <s v="2017/09/04"/>
        <s v="2017/09/05"/>
        <s v="2017/09/06"/>
        <s v="2017/09/07"/>
        <s v="2017/09/08"/>
        <s v="2017/09/09"/>
        <s v="2017/09/11"/>
        <s v="2017/09/12"/>
        <s v="2017/09/13"/>
        <s v="2017/09/14"/>
        <s v="2017/09/15"/>
        <s v="2017/09/16"/>
        <s v="2017/09/19"/>
        <s v="2017/09/20"/>
        <s v="2017/09/21"/>
        <s v="2017/09/22"/>
        <s v="2017/09/23"/>
        <s v="2017/09/25"/>
        <s v="2017/09/26"/>
        <s v="2017/09/27"/>
        <s v="2017/09/28"/>
        <s v="2017/09/29"/>
        <s v="2017/10/03"/>
        <s v="2017/10/04"/>
        <s v="2017/10/05"/>
        <s v="2017/10/06"/>
        <s v="2017/10/07"/>
        <s v="2017/10/09"/>
        <s v="2017/10/10"/>
        <s v="2017/10/11"/>
        <s v="2017/10/12"/>
        <s v="2017/10/16"/>
        <s v="2017/10/17"/>
        <s v="2017/10/23"/>
        <s v="2017/10/25"/>
        <s v="2017/10/26"/>
        <s v="2017/10/27"/>
        <s v="2017/10/30"/>
        <s v="2017/10/31"/>
        <s v="2017/11/01"/>
        <s v="2017/11/02"/>
        <s v="2017/11/03"/>
        <s v="2017/11/06"/>
        <s v="2017/11/07"/>
        <s v="2017/11/08"/>
        <s v="2017/11/09"/>
        <s v="2017/11/13"/>
        <s v="2017/11/16"/>
        <s v="2017/11/17"/>
        <s v="2017/11/20"/>
        <s v="2017/11/21"/>
        <s v="2017/11/22"/>
        <s v="2017/11/23"/>
        <s v="2017/11/27"/>
        <s v="2017/11/28"/>
        <s v="2017/11/29"/>
        <s v="2017/11/30"/>
        <s v="2017/12/01"/>
        <s v="2017/12/04"/>
        <s v="2017/12/05"/>
        <s v="2017/12/06"/>
        <s v="2017/12/07"/>
        <s v="2017/12/11"/>
        <s v="2017/12/12"/>
        <s v="2017/12/13"/>
        <s v="2017/12/14"/>
        <s v="2017/12/15"/>
        <s v="2017/12/18"/>
        <s v="2017/12/19"/>
        <s v="2017/12/20"/>
        <s v="2017/12/21"/>
        <s v="2017/12/22"/>
        <s v="2017/12/23"/>
        <s v="2017/12/26"/>
        <s v="2017/12/27"/>
        <s v="2017/12/28"/>
        <s v="2017/12/29"/>
        <s v="2017/12/30"/>
      </sharedItems>
    </cacheField>
    <cacheField name="Details" numFmtId="0">
      <sharedItems>
        <s v="IEC CHA No. Job No. Job Date Port of Discharge Total Package Gross Weight (Kg) FOB(INR) Total Cess (INR) Drawback STR Total (DBK+STR) CIN NO. CIN DT. Reward Flag&#10;0597024561  AALFP3921GCH001  4320940  01 JUL 2017 12:07  USCHI  10  4135  1237814  0  24756  "/>
        <s v="IEC CHA No. Job No. Job Date Port of Discharge Total Package Gross Weight (Kg) FOB(INR) Total Cess (INR) Drawback STR Total (DBK+STR) CIN NO. CIN DT. Reward Flag&#10;0597024561  AALFP3921GCH001  4326197  01 JUL 2017 12:07  USCHI  4  786  356431.8  0  7129  0 "/>
        <s v="IEC CHA No. Job No. Job Date Port of Discharge Total Package Gross Weight (Kg) FOB(INR) Total Cess (INR) Drawback STR Total (DBK+STR) CIN NO. CIN DT. Reward Flag&#10;0506074994  AMMPS0835PCH001  4432951  06 JUL 2017 12:07  SGSIN  212  9380.412  1068035.08  0 "/>
        <s v="IEC CHA No. Job No. Job Date Port of Discharge Total Package Gross Weight (Kg) FOB(INR) Total Cess (INR) Drawback STR Total (DBK+STR) CIN NO. CIN DT. Reward Flag&#10;0505023954  AACFL6638BCH001  4917548  26 JUL 2017 12:07  THLCH  9  1095  444373  0  0  0  0  "/>
        <s v="IEC CHA No. Job No. Job Date Port of Discharge Total Package Gross Weight (Kg) FOB(INR) Total Cess (INR) Drawback STR Total (DBK+STR) CIN NO. CIN DT. Reward Flag&#10;0508003300  AHDPK8975CCH001  4932027  26 JUL 2017 12:07  NLRTM  10  3191  830072  0  16601  0"/>
        <s v="IEC CHA No. Job No. Job Date Port of Discharge Total Package Gross Weight (Kg) FOB(INR) Total Cess (INR) Drawback STR Total (DBK+STR) CIN NO. CIN DT. Reward Flag&#10;0596009488  ADFFS3281FCH001  4939510  27 JUL 2017 12:07  USOKD  1859  16630  8675968.81  0  9"/>
        <s v="IEC CHA No. Job No. Job Date Port of Discharge Total Package Gross Weight (Kg) FOB(INR) Total Cess (INR) Drawback STR Total (DBK+STR) CIN NO. CIN DT. Reward Flag&#10;0506070484  AATPS3087NCH001  4955812  27 JUL 2017 12:07  VNSGN  26  5364.2  514985  0  0  0  "/>
        <s v="IEC CHA No. Job No. Job Date Port of Discharge Total Package Gross Weight (Kg) FOB(INR) Total Cess (INR) Drawback STR Total (DBK+STR) CIN NO. CIN DT. Reward Flag&#10;0514019492  AABCS7195NCH001  4957545  27 JUL 2017 12:07  FIRAU  2  250  224989.94  0  902  0 "/>
        <s v="IEC CHA No. Job No. Job Date Port of Discharge Total Package Gross Weight (Kg) FOB(INR) Total Cess (INR) Drawback STR Total (DBK+STR) CIN NO. CIN DT. Reward Flag&#10;0508003300  AHDPK8975CCH001  4958843  27 JUL 2017 12:07  SGSIN  6  2187  444246  0  8885  0  "/>
        <s v="IEC CHA No. Job No. Job Date Port of Discharge Total Package Gross Weight (Kg) FOB(INR) Total Cess (INR) Drawback STR Total (DBK+STR) CIN NO. CIN DT. Reward Flag&#10;0508003300  AHDPK8975CCH001  4958864  27 JUL 2017 12:07  SGSIN  38  18164  3836670  0  76733 "/>
        <s v="IEC CHA No. Job No. Job Date Port of Discharge Total Package Gross Weight (Kg) FOB(INR) Total Cess (INR) Drawback STR Total (DBK+STR) CIN NO. CIN DT. Reward Flag&#10;0508003300  AHDPK8975CCH001  4959794  27 JUL 2017 12:07  SGSIN  45  24734  7984172.5  0  1596"/>
        <s v="IEC CHA No. Job No. Job Date Port of Discharge Total Package Gross Weight (Kg) FOB(INR) Total Cess (INR) Drawback STR Total (DBK+STR) CIN NO. CIN DT. Reward Flag&#10;0513056661  AHEPG6607LCH001  4964475  28 JUL 2017 12:07  ALDRZ  194  9553.6  1221257.4  0  52"/>
        <s v="IEC CHA No. Job No. Job Date Port of Discharge Total Package Gross Weight (Kg) FOB(INR) Total Cess (INR) Drawback STR Total (DBK+STR) CIN NO. CIN DT. Reward Flag&#10;0593058577  ADWPT4152FCH001  4967401  28 JUL 2017 12:07  BEANR  8  7650  1567732  0  31355  0"/>
        <s v="IEC CHA No. Job No. Job Date Port of Discharge Total Package Gross Weight (Kg) FOB(INR) Total Cess (INR) Drawback STR Total (DBK+STR) CIN NO. CIN DT. Reward Flag&#10;0516929674  AAJPA1764ECH001  4981455  28 JUL 2017 12:07  AEJEA  1105  12723  3580704.04  0  5"/>
        <s v="IEC CHA No. Job No. Job Date Port of Discharge Total Package Gross Weight (Kg) FOB(INR) Total Cess (INR) Drawback STR Total (DBK+STR) CIN NO. CIN DT. Reward Flag&#10;0506046231  ADFFS3281FCH001  5012821  29 JUL 2017 12:07  GBTEE  22  22672  1792796.58  0  268"/>
        <s v="IEC CHA No. Job No. Job Date Port of Discharge Total Package Gross Weight (Kg) FOB(INR) Total Cess (INR) Drawback STR Total (DBK+STR) CIN NO. CIN DT. Reward Flag&#10;0591026007  AHDPK8975CCH001  5014940  29 JUL 2017 12:07  USCHI  11  6695.87  876541.3  0  171"/>
        <s v="IEC CHA No. Job No. Job Date Port of Discharge Total Package Gross Weight (Kg) FOB(INR) Total Cess (INR) Drawback STR Total (DBK+STR) CIN NO. CIN DT. Reward Flag&#10;0500016143  AEAPD9155RCH001  5026572  31 JUL 2017 12:07  DEHAM  78  1938  477658.43  0  6592 "/>
        <s v="IEC CHA No. Job No. Job Date Port of Discharge Total Package Gross Weight (Kg) FOB(INR) Total Cess (INR) Drawback STR Total (DBK+STR) CIN NO. CIN DT. Reward Flag&#10;1308012381  AADCS9253MCH002  5035989  31 JUL 2017 12:07  DEHAM  72  6232  7004230.27  0  1400"/>
        <s v="IEC CHA No. Job No. Job Date Port of Discharge Total Package Gross Weight (Kg) FOB(INR) Total Cess (INR) Drawback STR Total (DBK+STR) CIN NO. CIN DT. Reward Flag&#10;0588055964  AAICS8856RCH001  5042770  31 JUL 2017 12:07  AUMEL  1  87  196215  0  3924  0  39"/>
        <s v="IEC CHA No. Job No. Job Date Port of Discharge Total Package Gross Weight (Kg) FOB(INR) Total Cess (INR) Drawback STR Total (DBK+STR) CIN NO. CIN DT. Reward Flag&#10;3306001678  AMEPS4194BCH001  5046037  31 JUL 2017 12:07  GBFXT  23  13328  6578725.36  0  284"/>
        <s v="IEC CHA No. Job No. Job Date Port of Discharge Total Package Gross Weight (Kg) FOB(INR) Total Cess (INR) Drawback STR Total (DBK+STR) CIN NO. CIN DT. Reward Flag&#10;0517528762  AHFPR4981HCH001  5068904  01 AUG 2017 12:08  KWKWI  97  2782.53  3348526.5  0  25"/>
        <s v="IEC CHA No. Job No. Job Date Port of Discharge Total Package Gross Weight (Kg) FOB(INR) Total Cess (INR) Drawback STR Total (DBK+STR) CIN NO. CIN DT. Reward Flag&#10;0509037844  AGYPS4804QCH001  5074148  01 AUG 2017 12:08  AUSYD  1  140  140970  0  8459  0  8"/>
        <s v="IEC CHA No. Job No. Job Date Port of Discharge Total Package Gross Weight (Kg) FOB(INR) Total Cess (INR) Drawback STR Total (DBK+STR) CIN NO. CIN DT. Reward Flag&#10;0596061315  AABCC8115GCH002  5078635  01 AUG 2017 12:08  AEJEA  181  2440  740254.43  0  3029"/>
        <s v="IEC CHA No. Job No. Job Date Port of Discharge Total Package Gross Weight (Kg) FOB(INR) Total Cess (INR) Drawback STR Total (DBK+STR) CIN NO. CIN DT. Reward Flag&#10;0598005498  AANCS5422NCH004  5087233  02 AUG 2017 12:08  MACAS  220  3609.59  452450.2  0  74"/>
        <s v="IEC CHA No. Job No. Job Date Port of Discharge Total Package Gross Weight (Kg) FOB(INR) Total Cess (INR) Drawback STR Total (DBK+STR) CIN NO. CIN DT. Reward Flag&#10;0596009488  ADFFS3281FCH001  5092423  02 AUG 2017 12:08  ITSPE  1004  7676.556  6205570.52  0"/>
        <s v="IEC CHA No. Job No. Job Date Port of Discharge Total Package Gross Weight (Kg) FOB(INR) Total Cess (INR) Drawback STR Total (DBK+STR) CIN NO. CIN DT. Reward Flag&#10;0596009488  ADFFS3281FCH001  5092762  02 AUG 2017 12:08  ITSPE  1346  14240  9617899.87  0  9"/>
        <s v="IEC CHA No. Job No. Job Date Port of Discharge Total Package Gross Weight (Kg) FOB(INR) Total Cess (INR) Drawback STR Total (DBK+STR) CIN NO. CIN DT. Reward Flag&#10;0609003542  AOFPS8466PCH001  5102223  02 AUG 2017 12:08  AUSYD  162  2999  782675.6  0  11740"/>
        <s v="IEC CHA No. Job No. Job Date Port of Discharge Total Package Gross Weight (Kg) FOB(INR) Total Cess (INR) Drawback STR Total (DBK+STR) CIN NO. CIN DT. Reward Flag&#10;0510011683  AACFS5709ACH001  5103496  02 AUG 2017 12:08  GBSOU  18  432  62871.2  0  0  0  0 "/>
        <s v="IEC CHA No. Job No. Job Date Port of Discharge Total Package Gross Weight (Kg) FOB(INR) Total Cess (INR) Drawback STR Total (DBK+STR) CIN NO. CIN DT. Reward Flag&#10;0510056601  AARPM0995PCH001  5107926  02 AUG 2017 12:08  THLCH  1  880  625475  0  3320  0  3"/>
        <s v="IEC CHA No. Job No. Job Date Port of Discharge Total Package Gross Weight (Kg) FOB(INR) Total Cess (INR) Drawback STR Total (DBK+STR) CIN NO. CIN DT. Reward Flag&#10;0502021373  AAHCR2213ACH001  5112426  02 AUG 2017 12:08  CAMTR  8  80.465  483006.4  0  7245 "/>
        <s v="IEC CHA No. Job No. Job Date Port of Discharge Total Package Gross Weight (Kg) FOB(INR) Total Cess (INR) Drawback STR Total (DBK+STR) CIN NO. CIN DT. Reward Flag&#10;0507051360  AAAFJ1721HCH058  5122783  03 AUG 2017 12:08  THBKK  1  150  189503.05  0  3790  0"/>
        <s v="IEC CHA No. Job No. Job Date Port of Discharge Total Package Gross Weight (Kg) FOB(INR) Total Cess (INR) Drawback STR Total (DBK+STR) CIN NO. CIN DT. Reward Flag&#10;0515042064  AFYPK1878FCH001  5125414  03 AUG 2017 12:08  HUBUD  60  725.8  365633  0  3182  0"/>
        <s v="IEC CHA No. Job No. Job Date Port of Discharge Total Package Gross Weight (Kg) FOB(INR) Total Cess (INR) Drawback STR Total (DBK+STR) CIN NO. CIN DT. Reward Flag&#10;0592023052  AABCG4164HCH003  5126864  03 AUG 2017 12:08  RULED  30  14280  2553209.65  0  510"/>
        <s v="IEC CHA No. Job No. Job Date Port of Discharge Total Package Gross Weight (Kg) FOB(INR) Total Cess (INR) Drawback STR Total (DBK+STR) CIN NO. CIN DT. Reward Flag&#10;0509007406  AUHPS0698FCH002  5127639  03 AUG 2017 12:08  AUSYD  29  310  557479.94  0  40907 "/>
        <s v="IEC CHA No. Job No. Job Date Port of Discharge Total Package Gross Weight (Kg) FOB(INR) Total Cess (INR) Drawback STR Total (DBK+STR) CIN NO. CIN DT. Reward Flag&#10;0502037547  AVAPS6694RCH001  5132614  03 AUG 2017 12:08  USNYC  1  247  274015.2  0  5480  0 "/>
        <s v="IEC CHA No. Job No. Job Date Port of Discharge Total Package Gross Weight (Kg) FOB(INR) Total Cess (INR) Drawback STR Total (DBK+STR) CIN NO. CIN DT. Reward Flag&#10;0511034661  AABCC8115GCH002  5136673  03 AUG 2017 12:08  AEJEA  64  306  1002715.8  0  0  0  "/>
        <s v="IEC CHA No. Job No. Job Date Port of Discharge Total Package Gross Weight (Kg) FOB(INR) Total Cess (INR) Drawback STR Total (DBK+STR) CIN NO. CIN DT. Reward Flag&#10;0513045228  AAICS8856RCH001  5145688  04 AUG 2017 12:08  LKCMB  123  815  1013422.31  0  5771"/>
        <s v="IEC CHA No. Job No. Job Date Port of Discharge Total Package Gross Weight (Kg) FOB(INR) Total Cess (INR) Drawback STR Total (DBK+STR) CIN NO. CIN DT. Reward Flag&#10;0507068645  AABCT3664RCH001  5161689  04 AUG 2017 12:08  PHMNL  9  791  36091.61  0  722  0  "/>
        <s v="IEC CHA No. Job No. Job Date Port of Discharge Total Package Gross Weight (Kg) FOB(INR) Total Cess (INR) Drawback STR Total (DBK+STR) CIN NO. CIN DT. Reward Flag&#10;0592023052  AATPS3087NCH001  5171603  05 AUG 2017 12:08  CATIY  3  1117.58  264343.16  0  528"/>
        <s v="IEC CHA No. Job No. Job Date Port of Discharge Total Package Gross Weight (Kg) FOB(INR) Total Cess (INR) Drawback STR Total (DBK+STR) CIN NO. CIN DT. Reward Flag&#10;0593056868  AAAFA8105CCH001  5187167  05 AUG 2017 12:08  DJJIB  487  27750.15  5034285  0  35"/>
        <s v="IEC CHA No. Job No. Job Date Port of Discharge Total Package Gross Weight (Kg) FOB(INR) Total Cess (INR) Drawback STR Total (DBK+STR) CIN NO. CIN DT. Reward Flag&#10;0500062609  ALGPK6363BCH001  5190319  05 AUG 2017 12:08  OMSOH  5  5210  894292.65  0  17886 "/>
        <s v="IEC CHA No. Job No. Job Date Port of Discharge Total Package Gross Weight (Kg) FOB(INR) Total Cess (INR) Drawback STR Total (DBK+STR) CIN NO. CIN DT. Reward Flag&#10;0588050814  AFXPK5610ECH001  5200974  07 AUG 2017 12:08  JPTYO  2  56  37516.42  0  0  0  0  "/>
        <s v="IEC CHA No. Job No. Job Date Port of Discharge Total Package Gross Weight (Kg) FOB(INR) Total Cess (INR) Drawback STR Total (DBK+STR) CIN NO. CIN DT. Reward Flag&#10;0515918024  AGYPS4804QCH001  5217366  08 AUG 2017 12:08  AEJEA  18  1064  789144.6  0  15468 "/>
        <s v="IEC CHA No. Job No. Job Date Port of Discharge Total Package Gross Weight (Kg) FOB(INR) Total Cess (INR) Drawback STR Total (DBK+STR) CIN NO. CIN DT. Reward Flag&#10;0502077905  AHDPK8975CCH001  5232403  08 AUG 2017 12:08  MYWSP  7  5950  490858.5  0  5399  0"/>
        <s v="IEC CHA No. Job No. Job Date Port of Discharge Total Package Gross Weight (Kg) FOB(INR) Total Cess (INR) Drawback STR Total (DBK+STR) CIN NO. CIN DT. Reward Flag&#10;0506054306  ABBFA4018NCH001  5233244  08 AUG 2017 12:08  DEHAM  25  487  434843.44  0  33774 "/>
        <s v="IEC CHA No. Job No. Job Date Port of Discharge Total Package Gross Weight (Kg) FOB(INR) Total Cess (INR) Drawback STR Total (DBK+STR) CIN NO. CIN DT. Reward Flag&#10;0500042616  AJEPK5545PCH001  5246395  09 AUG 2017 12:08  IEDUB  3  124.8  121267.13  0  2425 "/>
        <s v="IEC CHA No. Job No. Job Date Port of Discharge Total Package Gross Weight (Kg) FOB(INR) Total Cess (INR) Drawback STR Total (DBK+STR) CIN NO. CIN DT. Reward Flag&#10;3097011234  AAACL3717ACH006  5248128  09 AUG 2017 12:08  ITGOA  6  2850  404859  0  8097  0  "/>
        <s v="IEC CHA No. Job No. Job Date Port of Discharge Total Package Gross Weight (Kg) FOB(INR) Total Cess (INR) Drawback STR Total (DBK+STR) CIN NO. CIN DT. Reward Flag&#10;AAKFN5762C  AHVPD5199DCH001  5252194  09 AUG 2017 12:08  USSIO  7  2975  4303349.56  0  43033"/>
        <s v="IEC CHA No. Job No. Job Date Port of Discharge Total Package Gross Weight (Kg) FOB(INR) Total Cess (INR) Drawback STR Total (DBK+STR) CIN NO. CIN DT. Reward Flag&#10;0517542374  AAAPC3345CCH001  5262192  09 AUG 2017 12:08  AEJEA  26  950  1030234.69  0  20528"/>
        <s v="IEC CHA No. Job No. Job Date Port of Discharge Total Package Gross Weight (Kg) FOB(INR) Total Cess (INR) Drawback STR Total (DBK+STR) CIN NO. CIN DT. Reward Flag&#10;0595025714  AAACP3974HCH001  5268773  10 AUG 2017 12:08  OMSOH  364  3086.72  590121.28  0  8"/>
        <s v="IEC CHA No. Job No. Job Date Port of Discharge Total Package Gross Weight (Kg) FOB(INR) Total Cess (INR) Drawback STR Total (DBK+STR) CIN NO. CIN DT. Reward Flag&#10;0507051360  AAAFJ1721HCH058  5281453  10 AUG 2017 12:08  THBKK  1  150  187569.54  0  3751  0"/>
        <s v="IEC CHA No. Job No. Job Date Port of Discharge Total Package Gross Weight (Kg) FOB(INR) Total Cess (INR) Drawback STR Total (DBK+STR) CIN NO. CIN DT. Reward Flag&#10;0514026804  APGPK3937FCH001  5291412  10 AUG 2017 12:08  PKKHI  1113  24708  1492912.5  0  22"/>
        <s v="IEC CHA No. Job No. Job Date Port of Discharge Total Package Gross Weight (Kg) FOB(INR) Total Cess (INR) Drawback STR Total (DBK+STR) CIN NO. CIN DT. Reward Flag&#10;0598045783  FHMPS1058ECH001  5292835  10 AUG 2017 12:08  LKCMB  51  1050  584819.25  0  0  0 "/>
        <s v="IEC CHA No. Job No. Job Date Port of Discharge Total Package Gross Weight (Kg) FOB(INR) Total Cess (INR) Drawback STR Total (DBK+STR) CIN NO. CIN DT. Reward Flag&#10;0509025765  AACCA2655GCH002  5303717  11 AUG 2017 12:08  MUPLU  22  2580  295432.08  0  4288 "/>
        <s v="IEC CHA No. Job No. Job Date Port of Discharge Total Package Gross Weight (Kg) FOB(INR) Total Cess (INR) Drawback STR Total (DBK+STR) CIN NO. CIN DT. Reward Flag&#10;0598055665  AARPK1504ACH001  5306450  11 AUG 2017 12:08  FIHEL  25  475  353695.5  0  33601  "/>
        <s v="IEC CHA No. Job No. Job Date Port of Discharge Total Package Gross Weight (Kg) FOB(INR) Total Cess (INR) Drawback STR Total (DBK+STR) CIN NO. CIN DT. Reward Flag&#10;0507051360  AAAFJ1721HCH058  5310153  11 AUG 2017 12:08  THBKK  1  150  187563.26  0  3751  0"/>
        <s v="IEC CHA No. Job No. Job Date Port of Discharge Total Package Gross Weight (Kg) FOB(INR) Total Cess (INR) Drawback STR Total (DBK+STR) CIN NO. CIN DT. Reward Flag&#10;0517546981  AICPK6933ACH001  5317376  11 AUG 2017 12:08  SADMN  14  405  247603.86  0  0  0  "/>
        <s v="IEC CHA No. Job No. Job Date Port of Discharge Total Package Gross Weight (Kg) FOB(INR) Total Cess (INR) Drawback STR Total (DBK+STR) CIN NO. CIN DT. Reward Flag&#10;0590022873  AAICS8856RCH001  5319329  11 AUG 2017 12:08  PLGDY  7  5710  927037.5  0  18541  "/>
        <s v="IEC CHA No. Job No. Job Date Port of Discharge Total Package Gross Weight (Kg) FOB(INR) Total Cess (INR) Drawback STR Total (DBK+STR) CIN NO. CIN DT. Reward Flag&#10;0314035087  AAACJ3309GCH001  5319773  11 AUG 2017 12:08  SNDKR  227  10727  1129229.09  0  16"/>
        <s v="IEC CHA No. Job No. Job Date Port of Discharge Total Package Gross Weight (Kg) FOB(INR) Total Cess (INR) Drawback STR Total (DBK+STR) CIN NO. CIN DT. Reward Flag&#10;0503083518  AACCP0287DCH001  5320861  11 AUG 2017 12:08  FJSUV  42  1078  244576.38  0  3669 "/>
        <s v="IEC CHA No. Job No. Job Date Port of Discharge Total Package Gross Weight (Kg) FOB(INR) Total Cess (INR) Drawback STR Total (DBK+STR) CIN NO. CIN DT. Reward Flag&#10;0510040519  AATPS3087NCH001  5335219  12 AUG 2017 12:08  RULED  541  4695.4  901244.49  0  59"/>
        <s v="IEC CHA No. Job No. Job Date Port of Discharge Total Package Gross Weight (Kg) FOB(INR) Total Cess (INR) Drawback STR Total (DBK+STR) CIN NO. CIN DT. Reward Flag&#10;0514081988  AATPS3087NCH001  5372063  15 AUG 2017 12:08  SADMM  349  4100  537776.03  0  1075"/>
        <s v="IEC CHA No. Job No. Job Date Port of Discharge Total Package Gross Weight (Kg) FOB(INR) Total Cess (INR) Drawback STR Total (DBK+STR) CIN NO. CIN DT. Reward Flag&#10;0512062013  FHMPS1058ECH001  5375921  16 AUG 2017 12:08  UYMVD  58  1241  576334.5  0  43225 "/>
        <s v="IEC CHA No. Job No. Job Date Port of Discharge Total Package Gross Weight (Kg) FOB(INR) Total Cess (INR) Drawback STR Total (DBK+STR) CIN NO. CIN DT. Reward Flag&#10;0513021612  AAGPD5694PCH001  5389841  16 AUG 2017 12:08  DOSDQ  30  730  278973.55  0  5434  "/>
        <s v="IEC CHA No. Job No. Job Date Port of Discharge Total Package Gross Weight (Kg) FOB(INR) Total Cess (INR) Drawback STR Total (DBK+STR) CIN NO. CIN DT. Reward Flag&#10;0515042064  AFYPK1878FCH001  5394090  16 AUG 2017 12:08  THBKK  8  96  42423.75  0  636  0  6"/>
        <s v="IEC CHA No. Job No. Job Date Port of Discharge Total Package Gross Weight (Kg) FOB(INR) Total Cess (INR) Drawback STR Total (DBK+STR) CIN NO. CIN DT. Reward Flag&#10;0593058577  ADWPT4152FCH001  5411860  17 AUG 2017 12:08  BGVAR  6  9000  1275380  0  25508  0"/>
        <s v="IEC CHA No. Job No. Job Date Port of Discharge Total Package Gross Weight (Kg) FOB(INR) Total Cess (INR) Drawback STR Total (DBK+STR) CIN NO. CIN DT. Reward Flag&#10;0515042064  AFYPK1878FCH001  5417911  17 AUG 2017 12:08  CAMTR  51  637.5  245137  0  3677  0"/>
        <s v="IEC CHA No. Job No. Job Date Port of Discharge Total Package Gross Weight (Kg) FOB(INR) Total Cess (INR) Drawback STR Total (DBK+STR) CIN NO. CIN DT. Reward Flag&#10;0509092110  AAGPB6351DCH001  5422677  17 AUG 2017 12:08  IRBND  395  10895.91  1996650.23  0 "/>
        <s v="IEC CHA No. Job No. Job Date Port of Discharge Total Package Gross Weight (Kg) FOB(INR) Total Cess (INR) Drawback STR Total (DBK+STR) CIN NO. CIN DT. Reward Flag&#10;0599007931  AASPK7562KCH001  5422767  17 AUG 2017 12:08  EGPSD  6  166.5  173466  0  0  0  0 "/>
        <s v="IEC CHA No. Job No. Job Date Port of Discharge Total Package Gross Weight (Kg) FOB(INR) Total Cess (INR) Drawback STR Total (DBK+STR) CIN NO. CIN DT. Reward Flag&#10;0514087234  AADCC6624QCH001  5424321  17 AUG 2017 12:08  KEEMB  63  2558.97  746343.75  0  62"/>
        <s v="IEC CHA No. Job No. Job Date Port of Discharge Total Package Gross Weight (Kg) FOB(INR) Total Cess (INR) Drawback STR Total (DBK+STR) CIN NO. CIN DT. Reward Flag&#10;0509006191  AADFT2787LCH001  5445293  18 AUG 2017 12:08  USNYC  46  853.3  248089.5  0  0  0 "/>
        <s v="IEC CHA No. Job No. Job Date Port of Discharge Total Package Gross Weight (Kg) FOB(INR) Total Cess (INR) Drawback STR Total (DBK+STR) CIN NO. CIN DT. Reward Flag&#10;0507062884  AYZPP5973GCH001  5449513  18 AUG 2017 12:08  BRSSZ  55  2705  1350857  0  27017  "/>
        <s v="IEC CHA No. Job No. Job Date Port of Discharge Total Package Gross Weight (Kg) FOB(INR) Total Cess (INR) Drawback STR Total (DBK+STR) CIN NO. CIN DT. Reward Flag&#10;0512002835  AABCJ1595RCH001  5450610  18 AUG 2017 12:08  QADOH  156  4212  521241.75  0  1563"/>
        <s v="IEC CHA No. Job No. Job Date Port of Discharge Total Package Gross Weight (Kg) FOB(INR) Total Cess (INR) Drawback STR Total (DBK+STR) CIN NO. CIN DT. Reward Flag&#10;0589053850  AATPS3087NCH001  5463111  19 AUG 2017 12:08  AEJEA  2  680  81419.04  0  1628  0 "/>
        <s v="IEC CHA No. Job No. Job Date Port of Discharge Total Package Gross Weight (Kg) FOB(INR) Total Cess (INR) Drawback STR Total (DBK+STR) CIN NO. CIN DT. Reward Flag&#10;0516515403  AHDPA0753ECH001  5484326  20 AUG 2017 12:08  GRPIR  17  1786  958973.78  0  41789"/>
        <s v="IEC CHA No. Job No. Job Date Port of Discharge Total Package Gross Weight (Kg) FOB(INR) Total Cess (INR) Drawback STR Total (DBK+STR) CIN NO. CIN DT. Reward Flag&#10;0512072388  AHVPD5199DCH001  5491108  21 AUG 2017 12:08  ZWHRE  143  9247.2  357319.94  0  60"/>
        <s v="IEC CHA No. Job No. Job Date Port of Discharge Total Package Gross Weight (Kg) FOB(INR) Total Cess (INR) Drawback STR Total (DBK+STR) CIN NO. CIN DT. Reward Flag&#10;0504064754  FHMPS1058ECH001  5503987  21 AUG 2017 12:08  LKCMB  8  615  394478.8  0  7703  0 "/>
        <s v="IEC CHA No. Job No. Job Date Port of Discharge Total Package Gross Weight (Kg) FOB(INR) Total Cess (INR) Drawback STR Total (DBK+STR) CIN NO. CIN DT. Reward Flag&#10;0592023052  AGYPS4804QCH001  5504396  21 AUG 2017 12:08  MYPKG  1  516.28  190025.14  0  3801"/>
        <s v="IEC CHA No. Job No. Job Date Port of Discharge Total Package Gross Weight (Kg) FOB(INR) Total Cess (INR) Drawback STR Total (DBK+STR) CIN NO. CIN DT. Reward Flag&#10;0511026242  AABCC8115GCH002  5508126  21 AUG 2017 12:08  LKCMB  8  199  237937.5  0  0  0  0 "/>
        <s v="IEC CHA No. Job No. Job Date Port of Discharge Total Package Gross Weight (Kg) FOB(INR) Total Cess (INR) Drawback STR Total (DBK+STR) CIN NO. CIN DT. Reward Flag&#10;0288012101  AHRPD2201LCH001  5509928  21 AUG 2017 12:08  AEJEA  140  1890  1580843.92  0  411"/>
        <s v="IEC CHA No. Job No. Job Date Port of Discharge Total Package Gross Weight (Kg) FOB(INR) Total Cess (INR) Drawback STR Total (DBK+STR) CIN NO. CIN DT. Reward Flag&#10;0288012101  AHRPD2201LCH001  5509926  21 AUG 2017 12:08  AEJEA  122  1544.6  768734.68  0  10"/>
        <s v="IEC CHA No. Job No. Job Date Port of Discharge Total Package Gross Weight (Kg) FOB(INR) Total Cess (INR) Drawback STR Total (DBK+STR) CIN NO. CIN DT. Reward Flag&#10;0595012647  AAACC6689ECH001  5524445  22 AUG 2017 12:08  PKKHI  777  9526  3095252.8  0  4642"/>
        <s v="IEC CHA No. Job No. Job Date Port of Discharge Total Package Gross Weight (Kg) FOB(INR) Total Cess (INR) Drawback STR Total (DBK+STR) CIN NO. CIN DT. Reward Flag&#10;0595012647  AAACC6689ECH001  5525781  22 AUG 2017 12:08  PKKHI  243  2346  1269897.18  0  190"/>
        <s v="IEC CHA No. Job No. Job Date Port of Discharge Total Package Gross Weight (Kg) FOB(INR) Total Cess (INR) Drawback STR Total (DBK+STR) CIN NO. CIN DT. Reward Flag&#10;0591028549  AAECB3928MCH001  5535182  22 AUG 2017 12:08  USHOU  1  271.647  252848.25  0  0  "/>
        <s v="IEC CHA No. Job No. Job Date Port of Discharge Total Package Gross Weight (Kg) FOB(INR) Total Cess (INR) Drawback STR Total (DBK+STR) CIN NO. CIN DT. Reward Flag&#10;3104003254  AAACA3307KCH003  5536680  22 AUG 2017 12:08  ARBUE  1  15  90073.62  0  2262  0  "/>
        <s v="IEC CHA No. Job No. Job Date Port of Discharge Total Package Gross Weight (Kg) FOB(INR) Total Cess (INR) Drawback STR Total (DBK+STR) CIN NO. CIN DT. Reward Flag&#10;0504038966  AARPK1504ACH001  5540056  22 AUG 2017 12:08  DEHAM  2  660  193947.86  0  3879  0"/>
        <s v="IEC CHA No. Job No. Job Date Port of Discharge Total Package Gross Weight (Kg) FOB(INR) Total Cess (INR) Drawback STR Total (DBK+STR) CIN NO. CIN DT. Reward Flag&#10;0505023954  AACFL6638BCH001  5547103  23 AUG 2017 12:08  BEANR  3  150  891549.91  0  0  0  0"/>
        <s v="IEC CHA No. Job No. Job Date Port of Discharge Total Package Gross Weight (Kg) FOB(INR) Total Cess (INR) Drawback STR Total (DBK+STR) CIN NO. CIN DT. Reward Flag&#10;0505000873  AOWPS6493KCH001  5558202  23 AUG 2017 12:08  MYPKG  4  3410  809907.53  0  16198 "/>
        <s v="IEC CHA No. Job No. Job Date Port of Discharge Total Package Gross Weight (Kg) FOB(INR) Total Cess (INR) Drawback STR Total (DBK+STR) CIN NO. CIN DT. Reward Flag&#10;0507042034  AALFA6988NCH001  5569861  24 AUG 2017 12:08  ILASH  633  17406.6  2535422.66  0  "/>
        <s v="IEC CHA No. Job No. Job Date Port of Discharge Total Package Gross Weight (Kg) FOB(INR) Total Cess (INR) Drawback STR Total (DBK+STR) CIN NO. CIN DT. Reward Flag&#10;0510085423  AHDPK8975CCH001  5572365  24 AUG 2017 12:08  LVRIX  16  148.8  36214.09  0  3220 "/>
        <s v="IEC CHA No. Job No. Job Date Port of Discharge Total Package Gross Weight (Kg) FOB(INR) Total Cess (INR) Drawback STR Total (DBK+STR) CIN NO. CIN DT. Reward Flag&#10;AAKFN5762C  AADCA0273BCH001  5585306  24 AUG 2017 12:08  NZAKL  3  87  35214.75  0  0  0  0  "/>
        <s v="IEC CHA No. Job No. Job Date Port of Discharge Total Package Gross Weight (Kg) FOB(INR) Total Cess (INR) Drawback STR Total (DBK+STR) CIN NO. CIN DT. Reward Flag&#10;0591046270  ADWPT4152FCH001  5585990  24 AUG 2017 12:08  NGAPP  541  40313  7116296.93  0  11"/>
        <s v="IEC CHA No. Job No. Job Date Port of Discharge Total Package Gross Weight (Kg) FOB(INR) Total Cess (INR) Drawback STR Total (DBK+STR) CIN NO. CIN DT. Reward Flag&#10;0508074321  AAGCS0053ECH003  5590629  24 AUG 2017 12:08  KEMBA  714  23222  1050935.04  0  35"/>
        <s v="IEC CHA No. Job No. Job Date Port of Discharge Total Package Gross Weight (Kg) FOB(INR) Total Cess (INR) Drawback STR Total (DBK+STR) CIN NO. CIN DT. Reward Flag&#10;0510059732  ANQPS8605JCH001  5592172  24 AUG 2017 12:08  IRBND  28  222  233800.56  0  0  0  "/>
        <s v="IEC CHA No. Job No. Job Date Port of Discharge Total Package Gross Weight (Kg) FOB(INR) Total Cess (INR) Drawback STR Total (DBK+STR) CIN NO. CIN DT. Reward Flag&#10;0500075158  ADXPJ1610RCH001  5598583  24 AUG 2017 12:08  USBOS  13  138  352972.35  0  34354 "/>
        <s v="IEC CHA No. Job No. Job Date Port of Discharge Total Package Gross Weight (Kg) FOB(INR) Total Cess (INR) Drawback STR Total (DBK+STR) CIN NO. CIN DT. Reward Flag&#10;0507001061  AAECB3928MCH001  5605058  25 AUG 2017 12:08  DKAAR  3  1170  370500  0  5250  0  "/>
        <s v="IEC CHA No. Job No. Job Date Port of Discharge Total Package Gross Weight (Kg) FOB(INR) Total Cess (INR) Drawback STR Total (DBK+STR) CIN NO. CIN DT. Reward Flag&#10;0510064663  ADMPC7074KCH001  5606562  25 AUG 2017 12:08  ZAJNB  450  8262.5  3118443.14  0  2"/>
        <s v="IEC CHA No. Job No. Job Date Port of Discharge Total Package Gross Weight (Kg) FOB(INR) Total Cess (INR) Drawback STR Total (DBK+STR) CIN NO. CIN DT. Reward Flag&#10;AAHCC0755A  BTLPP6279BCH001  5610323  25 AUG 2017 12:08  AEJEA  78  2106  6859452.6  0  67222"/>
        <s v="IEC CHA No. Job No. Job Date Port of Discharge Total Package Gross Weight (Kg) FOB(INR) Total Cess (INR) Drawback STR Total (DBK+STR) CIN NO. CIN DT. Reward Flag&#10;AAHCC0755A  BTLPP6279BCH001  5610310  25 AUG 2017 12:08  AEJEA  78  2106  6859452.6  0  67222"/>
        <s v="IEC CHA No. Job No. Job Date Port of Discharge Total Package Gross Weight (Kg) FOB(INR) Total Cess (INR) Drawback STR Total (DBK+STR) CIN NO. CIN DT. Reward Flag&#10;AAHCC0755A  BTLPP6279BCH001  5610328  25 AUG 2017 12:08  AEJEA  78  2106  6859452.6  0  67222"/>
        <s v="IEC CHA No. Job No. Job Date Port of Discharge Total Package Gross Weight (Kg) FOB(INR) Total Cess (INR) Drawback STR Total (DBK+STR) CIN NO. CIN DT. Reward Flag&#10;AAHCC0755A  BTLPP6279BCH001  5613414  25 AUG 2017 12:08  AEJEA  115  2300  6694038.45  0  656"/>
        <s v="IEC CHA No. Job No. Job Date Port of Discharge Total Package Gross Weight (Kg) FOB(INR) Total Cess (INR) Drawback STR Total (DBK+STR) CIN NO. CIN DT. Reward Flag&#10;AAHCC0755A  BTLPP6279BCH001  5613413  25 AUG 2017 12:08  AEJEA  115  2300  6694038.45  0  656"/>
        <s v="IEC CHA No. Job No. Job Date Port of Discharge Total Package Gross Weight (Kg) FOB(INR) Total Cess (INR) Drawback STR Total (DBK+STR) CIN NO. CIN DT. Reward Flag&#10;AAHCC0755A  BTLPP6279BCH001  5613421  25 AUG 2017 12:08  AEJEA  54  2268  6242185.62  0  6117"/>
        <s v="IEC CHA No. Job No. Job Date Port of Discharge Total Package Gross Weight (Kg) FOB(INR) Total Cess (INR) Drawback STR Total (DBK+STR) CIN NO. CIN DT. Reward Flag&#10;0512081786  AAACT0334RCH001  5619782  26 AUG 2017 12:08  AEJEA  720  7632  692239.5  0  48457"/>
        <s v="IEC CHA No. Job No. Job Date Port of Discharge Total Package Gross Weight (Kg) FOB(INR) Total Cess (INR) Drawback STR Total (DBK+STR) CIN NO. CIN DT. Reward Flag&#10;0510056601  AAIPJ7016KCH001  5621469  26 AUG 2017 12:08  THLCH  1  880  624982.5  0  3320  0 "/>
        <s v="IEC CHA No. Job No. Job Date Port of Discharge Total Package Gross Weight (Kg) FOB(INR) Total Cess (INR) Drawback STR Total (DBK+STR) CIN NO. CIN DT. Reward Flag&#10;0592023052  AASPK9028QCH001  5636518  26 AUG 2017 12:08  THLCH  14  7652  809303.48  0  16186"/>
        <s v="IEC CHA No. Job No. Job Date Port of Discharge Total Package Gross Weight (Kg) FOB(INR) Total Cess (INR) Drawback STR Total (DBK+STR) CIN NO. CIN DT. Reward Flag&#10;0515069272  BTLPP6279BCH001  5663714  28 AUG 2017 12:08  AEJEA  75  1575  5756184  0  564106 "/>
        <s v="IEC CHA No. Job No. Job Date Port of Discharge Total Package Gross Weight (Kg) FOB(INR) Total Cess (INR) Drawback STR Total (DBK+STR) CIN NO. CIN DT. Reward Flag&#10;0517513668  BTLPP6279BCH001  5666170  28 AUG 2017 12:08  AEJEA  90  1890  6907420.8  0  67692"/>
        <s v="IEC CHA No. Job No. Job Date Port of Discharge Total Package Gross Weight (Kg) FOB(INR) Total Cess (INR) Drawback STR Total (DBK+STR) CIN NO. CIN DT. Reward Flag&#10;0517513668  BTLPP6279BCH001  5666158  28 AUG 2017 12:08  AEJEA  90  1890  6907420.8  0  67692"/>
        <s v="IEC CHA No. Job No. Job Date Port of Discharge Total Package Gross Weight (Kg) FOB(INR) Total Cess (INR) Drawback STR Total (DBK+STR) CIN NO. CIN DT. Reward Flag&#10;0505088681  AAJPM0767BCH001  5680836  29 AUG 2017 12:08  AEJEA  21  19494.6  6704608.94  0  7"/>
        <s v="IEC CHA No. Job No. Job Date Port of Discharge Total Package Gross Weight (Kg) FOB(INR) Total Cess (INR) Drawback STR Total (DBK+STR) CIN NO. CIN DT. Reward Flag&#10;0507062884  AYZPP5973GCH001  5681602  29 AUG 2017 12:08  BRSSZ  51  2986  1702937  0  34059  "/>
        <s v="IEC CHA No. Job No. Job Date Port of Discharge Total Package Gross Weight (Kg) FOB(INR) Total Cess (INR) Drawback STR Total (DBK+STR) CIN NO. CIN DT. Reward Flag&#10;0509003061  AAECB3928MCH001  5701029  30 AUG 2017 12:08  USCVG  4  640  337277.35  0  6746  0"/>
        <s v="IEC CHA No. Job No. Job Date Port of Discharge Total Package Gross Weight (Kg) FOB(INR) Total Cess (INR) Drawback STR Total (DBK+STR) CIN NO. CIN DT. Reward Flag&#10;2416910671  FHMPS1058ECH001  5701162  30 AUG 2017 12:08  USLUA  1  88.3  94223.25  0  0  0  0"/>
        <s v="IEC CHA No. Job No. Job Date Port of Discharge Total Package Gross Weight (Kg) FOB(INR) Total Cess (INR) Drawback STR Total (DBK+STR) CIN NO. CIN DT. Reward Flag&#10;0595021255  AALCS5528DCH001  5703293  30 AUG 2017 12:08  MXZLO  6  3680  719776.8  0  14396  "/>
        <s v="IEC CHA No. Job No. Job Date Port of Discharge Total Package Gross Weight (Kg) FOB(INR) Total Cess (INR) Drawback STR Total (DBK+STR) CIN NO. CIN DT. Reward Flag&#10;1308012381  AEOPA9390KCH001  5718032  30 AUG 2017 12:08  JPNGY  2  496.5  770850  0  15417  0"/>
        <s v="IEC CHA No. Job No. Job Date Port of Discharge Total Package Gross Weight (Kg) FOB(INR) Total Cess (INR) Drawback STR Total (DBK+STR) CIN NO. CIN DT. Reward Flag&#10;0516954725  AAACC6689ECH001  5718150  30 AUG 2017 12:08  OMSOH  10  335  310905  0  0  0  0  "/>
        <s v="IEC CHA No. Job No. Job Date Port of Discharge Total Package Gross Weight (Kg) FOB(INR) Total Cess (INR) Drawback STR Total (DBK+STR) CIN NO. CIN DT. Reward Flag&#10;0592023052  AACCP0287DCH001  5718172  30 AUG 2017 12:08  USNNY  22  8958.4  1942666.42  0  38"/>
        <s v="IEC CHA No. Job No. Job Date Port of Discharge Total Package Gross Weight (Kg) FOB(INR) Total Cess (INR) Drawback STR Total (DBK+STR) CIN NO. CIN DT. Reward Flag&#10;0507081668  AOFPS8466PCH001  5720175  30 AUG 2017 12:08  YEADE  5  84  670086.3  0  13245  0 "/>
        <s v="IEC CHA No. Job No. Job Date Port of Discharge Total Package Gross Weight (Kg) FOB(INR) Total Cess (INR) Drawback STR Total (DBK+STR) CIN NO. CIN DT. Reward Flag&#10;0595012647  AAACC6689ECH001  5728705  31 AUG 2017 12:08  PKKHI  3464  46749  7708850.14  0  1"/>
        <s v="IEC CHA No. Job No. Job Date Port of Discharge Total Package Gross Weight (Kg) FOB(INR) Total Cess (INR) Drawback STR Total (DBK+STR) CIN NO. CIN DT. Reward Flag&#10;0500075158  ADXPJ1610RCH001  5741989  31 AUG 2017 12:08  USBOS  9  122  157324.28  0  12113  "/>
        <s v="IEC CHA No. Job No. Job Date Port of Discharge Total Package Gross Weight (Kg) FOB(INR) Total Cess (INR) Drawback STR Total (DBK+STR) CIN NO. CIN DT. Reward Flag&#10;0508073324  AAACG3100CCH001  5753042  31 AUG 2017 12:08  NLRTM  64  713.19  1076457.37  0  19"/>
        <s v="IEC CHA No. Job No. Job Date Port of Discharge Total Package Gross Weight (Kg) FOB(INR) Total Cess (INR) Drawback STR Total (DBK+STR) CIN NO. CIN DT. Reward Flag&#10;0506035182  AFYPK1878FCH001  5757084  31 AUG 2017 12:08  IRBND  536  6822.1  1774782.75  0  2"/>
        <s v="IEC CHA No. Job No. Job Date Port of Discharge Total Package Gross Weight (Kg) FOB(INR) Total Cess (INR) Drawback STR Total (DBK+STR) CIN NO. CIN DT. Reward Flag&#10;0597069948  AAAFJ1721HCH058  5778787  01 SEP 2017 12:09  DKCPH  1  26.5  127452  0  0  0  0  "/>
        <s v="IEC CHA No. Job No. Job Date Port of Discharge Total Package Gross Weight (Kg) FOB(INR) Total Cess (INR) Drawback STR Total (DBK+STR) CIN NO. CIN DT. Reward Flag&#10;1308012381  AADCS9253MCH002  5779425  01 SEP 2017 12:09  DEHAM  131  11339  14020763.33  0  2"/>
        <s v="IEC CHA No. Job No. Job Date Port of Discharge Total Package Gross Weight (Kg) FOB(INR) Total Cess (INR) Drawback STR Total (DBK+STR) CIN NO. CIN DT. Reward Flag&#10;0509056105  AHVPD5199DCH001  5782425  01 SEP 2017 12:09  PLGDY  1  420  188434.82  0  3769  0"/>
        <s v="IEC CHA No. Job No. Job Date Port of Discharge Total Package Gross Weight (Kg) FOB(INR) Total Cess (INR) Drawback STR Total (DBK+STR) CIN NO. CIN DT. Reward Flag&#10;0512072388  AHVPD5199DCH001  5796038  02 SEP 2017 12:09  ZWHRE  271  6053  547672.48  0  0  0"/>
        <s v="IEC CHA No. Job No. Job Date Port of Discharge Total Package Gross Weight (Kg) FOB(INR) Total Cess (INR) Drawback STR Total (DBK+STR) CIN NO. CIN DT. Reward Flag&#10;0311014879  BEVPS0859HCH001  5809753  04 SEP 2017 12:09  DEHAM  579  8625  1037597.5  0  0  0"/>
        <s v="IEC CHA No. Job No. Job Date Port of Discharge Total Package Gross Weight (Kg) FOB(INR) Total Cess (INR) Drawback STR Total (DBK+STR) CIN NO. CIN DT. Reward Flag&#10;0505000873  AOWPS6493KCH001  5810306  04 SEP 2017 12:09  THBKK  3  2335  718793.33  0  14376 "/>
        <s v="IEC CHA No. Job No. Job Date Port of Discharge Total Package Gross Weight (Kg) FOB(INR) Total Cess (INR) Drawback STR Total (DBK+STR) CIN NO. CIN DT. Reward Flag&#10;0516900692  AATPS3087NCH001  5810930  04 SEP 2017 12:09  VNSGN  29  300.7  617495.4  0  9262 "/>
        <s v="IEC CHA No. Job No. Job Date Port of Discharge Total Package Gross Weight (Kg) FOB(INR) Total Cess (INR) Drawback STR Total (DBK+STR) CIN NO. CIN DT. Reward Flag&#10;AAHCC0755A  BTLPP6279BCH001  5826161  04 SEP 2017 12:09  AEJEA  90  1890  6907420.8  0  67692"/>
        <s v="IEC CHA No. Job No. Job Date Port of Discharge Total Package Gross Weight (Kg) FOB(INR) Total Cess (INR) Drawback STR Total (DBK+STR) CIN NO. CIN DT. Reward Flag&#10;AAHCC0755A  BTLPP6279BCH001  5826172  04 SEP 2017 12:09  AEJEA  90  1890  6907420.8  0  67692"/>
        <s v="IEC CHA No. Job No. Job Date Port of Discharge Total Package Gross Weight (Kg) FOB(INR) Total Cess (INR) Drawback STR Total (DBK+STR) CIN NO. CIN DT. Reward Flag&#10;AABCZ1026D  BTLPP6279BCH001  5826209  04 SEP 2017 12:09  AEJEA  84  1764  6849858.96  0  6712"/>
        <s v="IEC CHA No. Job No. Job Date Port of Discharge Total Package Gross Weight (Kg) FOB(INR) Total Cess (INR) Drawback STR Total (DBK+STR) CIN NO. CIN DT. Reward Flag&#10;0616907401  AACCP0287DCH001  5840247  05 SEP 2017 12:09  CAVAN  11  231.71  54380  0  816  0 "/>
        <s v="IEC CHA No. Job No. Job Date Port of Discharge Total Package Gross Weight (Kg) FOB(INR) Total Cess (INR) Drawback STR Total (DBK+STR) CIN NO. CIN DT. Reward Flag&#10;0516517431  AAEFH1939HCH001  5846093  05 SEP 2017 12:09  ILHFA  4  3346  308969.78  0  6179  "/>
        <s v="IEC CHA No. Job No. Job Date Port of Discharge Total Package Gross Weight (Kg) FOB(INR) Total Cess (INR) Drawback STR Total (DBK+STR) CIN NO. CIN DT. Reward Flag&#10;0507023722  AANPA2304GCH001  5851341  05 SEP 2017 12:09  LKCMB  42  1060  277911  0  0  0  0 "/>
        <s v="IEC CHA No. Job No. Job Date Port of Discharge Total Package Gross Weight (Kg) FOB(INR) Total Cess (INR) Drawback STR Total (DBK+STR) CIN NO. CIN DT. Reward Flag&#10;0592023052  AMJPS3049QCH001  5855797  05 SEP 2017 12:09  CNSHA  17  7530  2354180.27  0  4708"/>
        <s v="IEC CHA No. Job No. Job Date Port of Discharge Total Package Gross Weight (Kg) FOB(INR) Total Cess (INR) Drawback STR Total (DBK+STR) CIN NO. CIN DT. Reward Flag&#10;0594004373  AAHCR2213ACH001  5858203  05 SEP 2017 12:09  AEJEA  228  5415.465  840043.1  0  1"/>
        <s v="IEC CHA No. Job No. Job Date Port of Discharge Total Package Gross Weight (Kg) FOB(INR) Total Cess (INR) Drawback STR Total (DBK+STR) CIN NO. CIN DT. Reward Flag&#10;0504016865  AADCA0273BCH001  5860740  05 SEP 2017 12:09  SEHEL  784  3292.8  964054.86  0  0 "/>
        <s v="IEC CHA No. Job No. Job Date Port of Discharge Total Package Gross Weight (Kg) FOB(INR) Total Cess (INR) Drawback STR Total (DBK+STR) CIN NO. CIN DT. Reward Flag&#10;0504064754  FHMPS1058ECH001  5873427  06 SEP 2017 12:09  LKCMB  8  485  724814.73  0  14351  "/>
        <s v="IEC CHA No. Job No. Job Date Port of Discharge Total Package Gross Weight (Kg) FOB(INR) Total Cess (INR) Drawback STR Total (DBK+STR) CIN NO. CIN DT. Reward Flag&#10;0507062884  AYZPP5973GCH001  5876744  06 SEP 2017 12:09  BRSSZ  50  2011  814769.5  0  16295 "/>
        <s v="IEC CHA No. Job No. Job Date Port of Discharge Total Package Gross Weight (Kg) FOB(INR) Total Cess (INR) Drawback STR Total (DBK+STR) CIN NO. CIN DT. Reward Flag&#10;0516502832  AHDPK8975CCH001  5879330  06 SEP 2017 12:09  USOLI  316  2642.9  1929772.11  0  1"/>
        <s v="IEC CHA No. Job No. Job Date Port of Discharge Total Package Gross Weight (Kg) FOB(INR) Total Cess (INR) Drawback STR Total (DBK+STR) CIN NO. CIN DT. Reward Flag&#10;3311006062  AHDPK8975CCH001  5884732  06 SEP 2017 12:09  CLSCL  40  249.02  465723  0  0  0  "/>
        <s v="IEC CHA No. Job No. Job Date Port of Discharge Total Package Gross Weight (Kg) FOB(INR) Total Cess (INR) Drawback STR Total (DBK+STR) CIN NO. CIN DT. Reward Flag&#10;0512059152  AASPK9028QCH001  5893896  07 SEP 2017 12:09  AEDXB  43  1335  314838.9  0  22790 "/>
        <s v="IEC CHA No. Job No. Job Date Port of Discharge Total Package Gross Weight (Kg) FOB(INR) Total Cess (INR) Drawback STR Total (DBK+STR) CIN NO. CIN DT. Reward Flag&#10;0505032473  BEEPS0785MCH001  5905863  07 SEP 2017 12:09  DEHAM  40  1150  411255  0  4113  0 "/>
        <s v="IEC CHA No. Job No. Job Date Port of Discharge Total Package Gross Weight (Kg) FOB(INR) Total Cess (INR) Drawback STR Total (DBK+STR) CIN NO. CIN DT. Reward Flag&#10;AAKFD0331P  AMAPS8772KCH001  5922687  08 SEP 2017 12:09  DEHAM  1  275  234025  0  0  0  0  N"/>
        <s v="IEC CHA No. Job No. Job Date Port of Discharge Total Package Gross Weight (Kg) FOB(INR) Total Cess (INR) Drawback STR Total (DBK+STR) CIN NO. CIN DT. Reward Flag&#10;0512067872  AAJCA1821BCH001  5928204  08 SEP 2017 12:09  GBSOU  3  526.52  564076.95  0  7166"/>
        <s v="IEC CHA No. Job No. Job Date Port of Discharge Total Package Gross Weight (Kg) FOB(INR) Total Cess (INR) Drawback STR Total (DBK+STR) CIN NO. CIN DT. Reward Flag&#10;0511087098  AAACE2126JCH014  5947300  09 SEP 2017 12:09  LKCMB  38  596  144590.77  0  0  0  "/>
        <s v="IEC CHA No. Job No. Job Date Port of Discharge Total Package Gross Weight (Kg) FOB(INR) Total Cess (INR) Drawback STR Total (DBK+STR) CIN NO. CIN DT. Reward Flag&#10;3104003254  AAACA3307KCH003  5973357  11 SEP 2017 12:09  USSTL  1  190  194114.25  0  3882  0"/>
        <s v="IEC CHA No. Job No. Job Date Port of Discharge Total Package Gross Weight (Kg) FOB(INR) Total Cess (INR) Drawback STR Total (DBK+STR) CIN NO. CIN DT. Reward Flag&#10;0589053850  AMJPS3049QCH001  5977016  11 SEP 2017 12:09  EGSOK  15  6472  938063.28  0  18761"/>
        <s v="IEC CHA No. Job No. Job Date Port of Discharge Total Package Gross Weight (Kg) FOB(INR) Total Cess (INR) Drawback STR Total (DBK+STR) CIN NO. CIN DT. Reward Flag&#10;0515060291  AABCS2867DCH001  5979721  11 SEP 2017 12:09  PLGDY  25  295  189750  0  6732  0  "/>
        <s v="IEC CHA No. Job No. Job Date Port of Discharge Total Package Gross Weight (Kg) FOB(INR) Total Cess (INR) Drawback STR Total (DBK+STR) CIN NO. CIN DT. Reward Flag&#10;0507051360  AAAFJ1721HCH058  5981869  11 SEP 2017 12:09  THBKK  2  300  378785.28  0  7576  0"/>
        <s v="IEC CHA No. Job No. Job Date Port of Discharge Total Package Gross Weight (Kg) FOB(INR) Total Cess (INR) Drawback STR Total (DBK+STR) CIN NO. CIN DT. Reward Flag&#10;0507023722  AANPA2304GCH001  5982604  11 SEP 2017 12:09  LKCMB  20  505  136145.63  0  0  0  "/>
        <s v="IEC CHA No. Job No. Job Date Port of Discharge Total Package Gross Weight (Kg) FOB(INR) Total Cess (INR) Drawback STR Total (DBK+STR) CIN NO. CIN DT. Reward Flag&#10;0506004830  AAJCA1821BCH001  5999477  12 SEP 2017 12:09  LKCMB  10  246  426937.5  0  6053  0"/>
        <s v="IEC CHA No. Job No. Job Date Port of Discharge Total Package Gross Weight (Kg) FOB(INR) Total Cess (INR) Drawback STR Total (DBK+STR) CIN NO. CIN DT. Reward Flag&#10;1314000233  AAFCK0712RCH001  6001781  12 SEP 2017 12:09  ZADUR  12  5468  1151276.76  0  1415"/>
        <s v="IEC CHA No. Job No. Job Date Port of Discharge Total Package Gross Weight (Kg) FOB(INR) Total Cess (INR) Drawback STR Total (DBK+STR) CIN NO. CIN DT. Reward Flag&#10;0515920274  AAAFO0713CCH001  6004661  12 SEP 2017 12:09  ESBCN  3  199  209411.84  0  0  0  0"/>
        <s v="IEC CHA No. Job No. Job Date Port of Discharge Total Package Gross Weight (Kg) FOB(INR) Total Cess (INR) Drawback STR Total (DBK+STR) CIN NO. CIN DT. Reward Flag&#10;0513013261  AABCS7195NCH001  6006790  12 SEP 2017 12:09  AEJEA  10  307.8  111952.5  0  1679 "/>
        <s v="IEC CHA No. Job No. Job Date Port of Discharge Total Package Gross Weight (Kg) FOB(INR) Total Cess (INR) Drawback STR Total (DBK+STR) CIN NO. CIN DT. Reward Flag&#10;0709012331  AACCN5026ECH007  6007285  12 SEP 2017 12:09  PACFZ  7  4045  1844633.12  0  36893"/>
        <s v="IEC CHA No. Job No. Job Date Port of Discharge Total Package Gross Weight (Kg) FOB(INR) Total Cess (INR) Drawback STR Total (DBK+STR) CIN NO. CIN DT. Reward Flag&#10;AAECE6932C  BTLPP6279BCH001  6008035  12 SEP 2017 12:09  AEJEA  60  1050  6311844  0  618561 "/>
        <s v="IEC CHA No. Job No. Job Date Port of Discharge Total Package Gross Weight (Kg) FOB(INR) Total Cess (INR) Drawback STR Total (DBK+STR) CIN NO. CIN DT. Reward Flag&#10;AAECE6932C  BTLPP6279BCH001  6008096  12 SEP 2017 12:09  AEJEA  58  1015  6101449.2  0  59794"/>
        <s v="IEC CHA No. Job No. Job Date Port of Discharge Total Package Gross Weight (Kg) FOB(INR) Total Cess (INR) Drawback STR Total (DBK+STR) CIN NO. CIN DT. Reward Flag&#10;AAECE6932C  BTLPP6279BCH001  6008090  12 SEP 2017 12:09  AEJEA  60  1050  6311844  0  618561 "/>
        <s v="IEC CHA No. Job No. Job Date Port of Discharge Total Package Gross Weight (Kg) FOB(INR) Total Cess (INR) Drawback STR Total (DBK+STR) CIN NO. CIN DT. Reward Flag&#10;AAECE6932C  BTLPP6279BCH001  6008120  12 SEP 2017 12:09  AEJEA  58  1015  6101449.2  0  59794"/>
        <s v="IEC CHA No. Job No. Job Date Port of Discharge Total Package Gross Weight (Kg) FOB(INR) Total Cess (INR) Drawback STR Total (DBK+STR) CIN NO. CIN DT. Reward Flag&#10;AAECE6932C  BTLPP6279BCH001  6008163  12 SEP 2017 12:09  AEJEA  60  1050  6311844  0  618561 "/>
        <s v="IEC CHA No. Job No. Job Date Port of Discharge Total Package Gross Weight (Kg) FOB(INR) Total Cess (INR) Drawback STR Total (DBK+STR) CIN NO. CIN DT. Reward Flag&#10;0595012647  AAACC6689ECH001  6010406  12 SEP 2017 12:09  PKKHI  3138  47059  7890078.87  0  1"/>
        <s v="IEC CHA No. Job No. Job Date Port of Discharge Total Package Gross Weight (Kg) FOB(INR) Total Cess (INR) Drawback STR Total (DBK+STR) CIN NO. CIN DT. Reward Flag&#10;0511063865  ARPPK3328RCH001  6012243  12 SEP 2017 12:09  IDJKT  1  35  17068.65  0  0  0  0  "/>
        <s v="IEC CHA No. Job No. Job Date Port of Discharge Total Package Gross Weight (Kg) FOB(INR) Total Cess (INR) Drawback STR Total (DBK+STR) CIN NO. CIN DT. Reward Flag&#10;0598059113  AASPK9028QCH001  6016290  12 SEP 2017 12:09  TZDAR  845  10250  1390057.9  0  973"/>
        <s v="IEC CHA No. Job No. Job Date Port of Discharge Total Package Gross Weight (Kg) FOB(INR) Total Cess (INR) Drawback STR Total (DBK+STR) CIN NO. CIN DT. Reward Flag&#10;0514025026  ARPPK3328RCH001  6020998  13 SEP 2017 12:09  BDCGP  13  448  89182.5  0  1784  0 "/>
        <s v="IEC CHA No. Job No. Job Date Port of Discharge Total Package Gross Weight (Kg) FOB(INR) Total Cess (INR) Drawback STR Total (DBK+STR) CIN NO. CIN DT. Reward Flag&#10;0506062538  AAQPP8189FCH001  6063792  14 SEP 2017 12:09  KWSWK  4  1847.2  451763.13  0  4731"/>
        <s v="IEC CHA No. Job No. Job Date Port of Discharge Total Package Gross Weight (Kg) FOB(INR) Total Cess (INR) Drawback STR Total (DBK+STR) CIN NO. CIN DT. Reward Flag&#10;0508075416  AVAPS6694RCH001  6065307  14 SEP 2017 12:09  CNSZX  40  1008.4  131387.96  0  0  "/>
        <s v="IEC CHA No. Job No. Job Date Port of Discharge Total Package Gross Weight (Kg) FOB(INR) Total Cess (INR) Drawback STR Total (DBK+STR) CIN NO. CIN DT. Reward Flag&#10;0504064011  AVAPS6694RCH001  6093141  15 SEP 2017 12:09  MMRGN  882  15492.4  1683614.61  0  "/>
        <s v="IEC CHA No. Job No. Job Date Port of Discharge Total Package Gross Weight (Kg) FOB(INR) Total Cess (INR) Drawback STR Total (DBK+STR) CIN NO. CIN DT. Reward Flag&#10;0503013749  AACCP0287DCH001  6103872  16 SEP 2017 12:09  UZTAS  80  2225  845291.98  0  0  0 "/>
        <s v="IEC CHA No. Job No. Job Date Port of Discharge Total Package Gross Weight (Kg) FOB(INR) Total Cess (INR) Drawback STR Total (DBK+STR) CIN NO. CIN DT. Reward Flag&#10;0511035675  BWXPS5491PCH001  6115190  16 SEP 2017 12:09  ZAJNB  136  3453  878242.06  0  0  0"/>
        <s v="IEC CHA No. Job No. Job Date Port of Discharge Total Package Gross Weight (Kg) FOB(INR) Total Cess (INR) Drawback STR Total (DBK+STR) CIN NO. CIN DT. Reward Flag&#10;0514036265  AAFCS0723ACH002  6117091  16 SEP 2017 12:09  GBFXT  210  3250  460178.54  0  6903"/>
        <s v="IEC CHA No. Job No. Job Date Port of Discharge Total Package Gross Weight (Kg) FOB(INR) Total Cess (INR) Drawback STR Total (DBK+STR) CIN NO. CIN DT. Reward Flag&#10;0593067517  AHEPG6607LCH001  6159589  19 SEP 2017 12:09  KWSWK  650  6925  3279512.5  0  4853"/>
        <s v="IEC CHA No. Job No. Job Date Port of Discharge Total Package Gross Weight (Kg) FOB(INR) Total Cess (INR) Drawback STR Total (DBK+STR) CIN NO. CIN DT. Reward Flag&#10;0515076741  AEMPB3106JCH001  6161428  19 SEP 2017 12:09  GBLON  29  511  435906.6  0  31567  "/>
        <s v="IEC CHA No. Job No. Job Date Port of Discharge Total Package Gross Weight (Kg) FOB(INR) Total Cess (INR) Drawback STR Total (DBK+STR) CIN NO. CIN DT. Reward Flag&#10;0307055078  AKXPB2292ECH001  6162771  19 SEP 2017 12:09  SEGOT  8  1607  508055.63  0  2609  "/>
        <s v="IEC CHA No. Job No. Job Date Port of Discharge Total Package Gross Weight (Kg) FOB(INR) Total Cess (INR) Drawback STR Total (DBK+STR) CIN NO. CIN DT. Reward Flag&#10;0598005536  AMJPS3049QCH001  6162967  19 SEP 2017 12:09  ZAPLZ  35  900  320266.38  0  4804  "/>
        <s v="IEC CHA No. Job No. Job Date Port of Discharge Total Package Gross Weight (Kg) FOB(INR) Total Cess (INR) Drawback STR Total (DBK+STR) CIN NO. CIN DT. Reward Flag&#10;0501045813  AACCC6225CCH001  6187499  20 SEP 2017 12:09  AEAUH  4  320  194985.6  0  0  0  0 "/>
        <s v="IEC CHA No. Job No. Job Date Port of Discharge Total Package Gross Weight (Kg) FOB(INR) Total Cess (INR) Drawback STR Total (DBK+STR) CIN NO. CIN DT. Reward Flag&#10;1216900370  AAECA9987BCH004  6195467  20 SEP 2017 12:09  AEJEA  4  6400  1220725  0  24415  0"/>
        <s v="IEC CHA No. Job No. Job Date Port of Discharge Total Package Gross Weight (Kg) FOB(INR) Total Cess (INR) Drawback STR Total (DBK+STR) CIN NO. CIN DT. Reward Flag&#10;0517500531  CUZPS3942QCH001  6196554  20 SEP 2017 12:09  THBKK  19  1645.5  1382961.25  0  37"/>
        <s v="IEC CHA No. Job No. Job Date Port of Discharge Total Package Gross Weight (Kg) FOB(INR) Total Cess (INR) Drawback STR Total (DBK+STR) CIN NO. CIN DT. Reward Flag&#10;0508003300  AHDPK8975CCH001  6207489  21 SEP 2017 12:09  QADOH  13  3455  636421.5  0  12728 "/>
        <s v="IEC CHA No. Job No. Job Date Port of Discharge Total Package Gross Weight (Kg) FOB(INR) Total Cess (INR) Drawback STR Total (DBK+STR) CIN NO. CIN DT. Reward Flag&#10;0397084901  AAACU5306LCH002  6209700  21 SEP 2017 12:09  TZDAR  40  912.927  372289.5  0  0  "/>
        <s v="IEC CHA No. Job No. Job Date Port of Discharge Total Package Gross Weight (Kg) FOB(INR) Total Cess (INR) Drawback STR Total (DBK+STR) CIN NO. CIN DT. Reward Flag&#10;0595012647  AAACC6689ECH001  6242266  22 SEP 2017 12:09  PKKHI  457  7039  1926629.43  0  288"/>
        <s v="IEC CHA No. Job No. Job Date Port of Discharge Total Package Gross Weight (Kg) FOB(INR) Total Cess (INR) Drawback STR Total (DBK+STR) CIN NO. CIN DT. Reward Flag&#10;0504064754  FHMPS1058ECH001  6265937  23 SEP 2017 12:09  LKCMB  4  430  669477.45  0  13254  "/>
        <s v="IEC CHA No. Job No. Job Date Port of Discharge Total Package Gross Weight (Kg) FOB(INR) Total Cess (INR) Drawback STR Total (DBK+STR) CIN NO. CIN DT. Reward Flag&#10;0595012647  AAACC6689ECH001  6266212  23 SEP 2017 12:09  PKKHI  1558  24084  4723665.86  0  7"/>
        <s v="IEC CHA No. Job No. Job Date Port of Discharge Total Package Gross Weight (Kg) FOB(INR) Total Cess (INR) Drawback STR Total (DBK+STR) CIN NO. CIN DT. Reward Flag&#10;3397001846  AACCP0287DCH001  6295756  25 SEP 2017 12:09  COBUN  58  3295.5  465626.62  0  698"/>
        <s v="IEC CHA No. Job No. Job Date Port of Discharge Total Package Gross Weight (Kg) FOB(INR) Total Cess (INR) Drawback STR Total (DBK+STR) CIN NO. CIN DT. Reward Flag&#10;3397001846  AACCP0287DCH001  6295879  25 SEP 2017 12:09  COBUN  60  3785.3  495278.97  0  742"/>
        <s v="IEC CHA No. Job No. Job Date Port of Discharge Total Package Gross Weight (Kg) FOB(INR) Total Cess (INR) Drawback STR Total (DBK+STR) CIN NO. CIN DT. Reward Flag&#10;0594048621  AASPK9028QCH001  6319139  26 SEP 2017 12:09  BEANR  15  1064  519395.84  0  43153"/>
        <s v="IEC CHA No. Job No. Job Date Port of Discharge Total Package Gross Weight (Kg) FOB(INR) Total Cess (INR) Drawback STR Total (DBK+STR) CIN NO. CIN DT. Reward Flag&#10;DOOPK1147B  AJXPC1898GCH001  6330276  26 SEP 2017 12:09  AEJEA  53  901  4812968.16  0  47167"/>
        <s v="IEC CHA No. Job No. Job Date Port of Discharge Total Package Gross Weight (Kg) FOB(INR) Total Cess (INR) Drawback STR Total (DBK+STR) CIN NO. CIN DT. Reward Flag&#10;DOOPK1147B  AJXPC1898GCH001  6330279  26 SEP 2017 12:09  AEJEA  40  800  4973148.18  0  48736"/>
        <s v="IEC CHA No. Job No. Job Date Port of Discharge Total Package Gross Weight (Kg) FOB(INR) Total Cess (INR) Drawback STR Total (DBK+STR) CIN NO. CIN DT. Reward Flag&#10;DOOPK1147B  AJXPC1898GCH001  6330311  26 SEP 2017 12:09  AEJEA  53  901  4812968.16  0  47167"/>
        <s v="IEC CHA No. Job No. Job Date Port of Discharge Total Package Gross Weight (Kg) FOB(INR) Total Cess (INR) Drawback STR Total (DBK+STR) CIN NO. CIN DT. Reward Flag&#10;DOOPK1147B  AJXPC1898GCH001  6330308  26 SEP 2017 12:09  AEJEA  53  901  4812968.16  0  47167"/>
        <s v="IEC CHA No. Job No. Job Date Port of Discharge Total Package Gross Weight (Kg) FOB(INR) Total Cess (INR) Drawback STR Total (DBK+STR) CIN NO. CIN DT. Reward Flag&#10;DOOPK1147B  AJXPC1898GCH001  6330314  26 SEP 2017 12:09  AEJEA  54  918  4903778.88  0  48057"/>
        <s v="IEC CHA No. Job No. Job Date Port of Discharge Total Package Gross Weight (Kg) FOB(INR) Total Cess (INR) Drawback STR Total (DBK+STR) CIN NO. CIN DT. Reward Flag&#10;DOOPK1147B  AJXPC1898GCH001  6332056  26 SEP 2017 12:09  AEJEA  53  901  4812968.16  0  47167"/>
        <s v="IEC CHA No. Job No. Job Date Port of Discharge Total Package Gross Weight (Kg) FOB(INR) Total Cess (INR) Drawback STR Total (DBK+STR) CIN NO. CIN DT. Reward Flag&#10;0510005021  AQBPK4529MCH001  6335318  26 SEP 2017 12:09  IDJKT  2  300  132432.3  0  0  0  0 "/>
        <s v="IEC CHA No. Job No. Job Date Port of Discharge Total Package Gross Weight (Kg) FOB(INR) Total Cess (INR) Drawback STR Total (DBK+STR) CIN NO. CIN DT. Reward Flag&#10;0509035337  AAACT6486CCH003  6360604  27 SEP 2017 12:09  LKCMB  418  13886.7  1484685.84  0  "/>
        <s v="IEC CHA No. Job No. Job Date Port of Discharge Total Package Gross Weight (Kg) FOB(INR) Total Cess (INR) Drawback STR Total (DBK+STR) CIN NO. CIN DT. Reward Flag&#10;0599059206  AQBPK4529MCH001  6365735  27 SEP 2017 12:09  MVMLE  2100  2130  901609.8  0  0  0"/>
        <s v="IEC CHA No. Job No. Job Date Port of Discharge Total Package Gross Weight (Kg) FOB(INR) Total Cess (INR) Drawback STR Total (DBK+STR) CIN NO. CIN DT. Reward Flag&#10;0599059206  AQBPK4529MCH001  6365733  27 SEP 2017 12:09  MVMLE  900  913  386404.2  0  0  0  "/>
        <s v="IEC CHA No. Job No. Job Date Port of Discharge Total Package Gross Weight (Kg) FOB(INR) Total Cess (INR) Drawback STR Total (DBK+STR) CIN NO. CIN DT. Reward Flag&#10;0515036919  AARFS2414BCH002  6386402  28 SEP 2017 12:09  ILASH  228  3274.08  2636033.4  0  2"/>
        <s v="IEC CHA No. Job No. Job Date Port of Discharge Total Package Gross Weight (Kg) FOB(INR) Total Cess (INR) Drawback STR Total (DBK+STR) CIN NO. CIN DT. Reward Flag&#10;3104003254  AAACA3307KCH003  6386620  28 SEP 2017 12:09  ARBUE  1  8  158368.5  0  3167  0  3"/>
        <s v="IEC CHA No. Job No. Job Date Port of Discharge Total Package Gross Weight (Kg) FOB(INR) Total Cess (INR) Drawback STR Total (DBK+STR) CIN NO. CIN DT. Reward Flag&#10;0588079359  AAACU5306LCH002  6389738  28 SEP 2017 12:09  NOOSL  3  1168.5  303050.84  0  6061"/>
        <s v="IEC CHA No. Job No. Job Date Port of Discharge Total Package Gross Weight (Kg) FOB(INR) Total Cess (INR) Drawback STR Total (DBK+STR) CIN NO. CIN DT. Reward Flag&#10;3104003254  AAACA3307KCH003  6391825  28 SEP 2017 12:09  ARBUE  1  47  757849.2  0  15157  0 "/>
        <s v="IEC CHA No. Job No. Job Date Port of Discharge Total Package Gross Weight (Kg) FOB(INR) Total Cess (INR) Drawback STR Total (DBK+STR) CIN NO. CIN DT. Reward Flag&#10;3104003254  AAACA3307KCH003  6392344  28 SEP 2017 12:09  ARBUE  4  142.4  1977449.4  0  39511"/>
        <s v="IEC CHA No. Job No. Job Date Port of Discharge Total Package Gross Weight (Kg) FOB(INR) Total Cess (INR) Drawback STR Total (DBK+STR) CIN NO. CIN DT. Reward Flag&#10;3104003254  AAACA3307KCH003  6393025  28 SEP 2017 12:09  USNYC  6  298  374976.42  0  6682  0"/>
        <s v="IEC CHA No. Job No. Job Date Port of Discharge Total Package Gross Weight (Kg) FOB(INR) Total Cess (INR) Drawback STR Total (DBK+STR) CIN NO. CIN DT. Reward Flag&#10;0589053850  AALCS5528DCH001  6427013  29 SEP 2017 12:09  QADOH  5  2590  400321.38  0  8006  "/>
        <s v="IEC CHA No. Job No. Job Date Port of Discharge Total Package Gross Weight (Kg) FOB(INR) Total Cess (INR) Drawback STR Total (DBK+STR) CIN NO. CIN DT. Reward Flag&#10;0595012647  AAACC6689ECH001  6428046  29 SEP 2017 12:09  PKKHI  746  10619  3765676.46  0  56"/>
        <s v="IEC CHA No. Job No. Job Date Port of Discharge Total Package Gross Weight (Kg) FOB(INR) Total Cess (INR) Drawback STR Total (DBK+STR) CIN NO. CIN DT. Reward Flag&#10;0595012647  AAACC6689ECH001  6430835  29 SEP 2017 12:09  PKKHI  833  8404  5375435.34  0  806"/>
        <s v="IEC CHA No. Job No. Job Date Port of Discharge Total Package Gross Weight (Kg) FOB(INR) Total Cess (INR) Drawback STR Total (DBK+STR) CIN NO. CIN DT. Reward Flag&#10;2915001367  BEEPS0785MCH001  6437389  29 SEP 2017 12:09  MUPLU  61  630.32  394472.44  0  0  "/>
        <s v="IEC CHA No. Job No. Job Date Port of Discharge Total Package Gross Weight (Kg) FOB(INR) Total Cess (INR) Drawback STR Total (DBK+STR) CIN NO. CIN DT. Reward Flag&#10;0598059113  AASPK9028QCH001  6461434  03 OCT 2017 12:10  AEJEA  845  10250  1383309.2  0  276"/>
        <s v="IEC CHA No. Job No. Job Date Port of Discharge Total Package Gross Weight (Kg) FOB(INR) Total Cess (INR) Drawback STR Total (DBK+STR) CIN NO. CIN DT. Reward Flag&#10;0506012905  FHMPS1058ECH001  6485787  03 OCT 2017 12:10  MYPKG  236  23624.15  886195.04  0  "/>
        <s v="IEC CHA No. Job No. Job Date Port of Discharge Total Package Gross Weight (Kg) FOB(INR) Total Cess (INR) Drawback STR Total (DBK+STR) CIN NO. CIN DT. Reward Flag&#10;0504063227  AACCP0287DCH001  6504228  04 OCT 2017 12:10  THLCH  4  940  362593.14  0  7252  0"/>
        <s v="IEC CHA No. Job No. Job Date Port of Discharge Total Package Gross Weight (Kg) FOB(INR) Total Cess (INR) Drawback STR Total (DBK+STR) CIN NO. CIN DT. Reward Flag&#10;0588024317  AACFS5709ACH001  6513403  04 OCT 2017 12:10  MUPLU  11  126.5  161777.62  0  0  0"/>
        <s v="IEC CHA No. Job No. Job Date Port of Discharge Total Package Gross Weight (Kg) FOB(INR) Total Cess (INR) Drawback STR Total (DBK+STR) CIN NO. CIN DT. Reward Flag&#10;0514085720  AADCJ6591KCH001  6527804  05 OCT 2017 12:10  AEJEA  73  28000  767266.5  0  0  0 "/>
        <s v="IEC CHA No. Job No. Job Date Port of Discharge Total Package Gross Weight (Kg) FOB(INR) Total Cess (INR) Drawback STR Total (DBK+STR) CIN NO. CIN DT. Reward Flag&#10;0514067969  AHVPD5199DCH001  6530682  05 OCT 2017 12:10  PKKHI  20  490  658658  0  762  0  7"/>
        <s v="IEC CHA No. Job No. Job Date Port of Discharge Total Package Gross Weight (Kg) FOB(INR) Total Cess (INR) Drawback STR Total (DBK+STR) CIN NO. CIN DT. Reward Flag&#10;0516502123  AAUPY4535CCH001  6535528  05 OCT 2017 12:10  TNRDS  2  4000  955500  0  19110  0 "/>
        <s v="IEC CHA No. Job No. Job Date Port of Discharge Total Package Gross Weight (Kg) FOB(INR) Total Cess (INR) Drawback STR Total (DBK+STR) CIN NO. CIN DT. Reward Flag&#10;0588128180  ARPPK3328RCH001  6538656  05 OCT 2017 12:10  KMLOG  535  16365  3231761.5  0  318"/>
        <s v="IEC CHA No. Job No. Job Date Port of Discharge Total Package Gross Weight (Kg) FOB(INR) Total Cess (INR) Drawback STR Total (DBK+STR) CIN NO. CIN DT. Reward Flag&#10;0501061428  AHVPD5199DCH001  6541004  05 OCT 2017 12:10  MVMLE  1  104  308180.6  0  3082  0 "/>
        <s v="IEC CHA No. Job No. Job Date Port of Discharge Total Package Gross Weight (Kg) FOB(INR) Total Cess (INR) Drawback STR Total (DBK+STR) CIN NO. CIN DT. Reward Flag&#10;0507023722  AANPA2304GCH001  6566885  06 OCT 2017 12:10  LKCMB  40  1010  273918  0  0  0  0 "/>
        <s v="IEC CHA No. Job No. Job Date Port of Discharge Total Package Gross Weight (Kg) FOB(INR) Total Cess (INR) Drawback STR Total (DBK+STR) CIN NO. CIN DT. Reward Flag&#10;0500003491  BEEPS0785MCH001  6576288  06 OCT 2017 12:10  GBLON  34  686  327930  0  0  0  0  "/>
        <s v="IEC CHA No. Job No. Job Date Port of Discharge Total Package Gross Weight (Kg) FOB(INR) Total Cess (INR) Drawback STR Total (DBK+STR) CIN NO. CIN DT. Reward Flag&#10;0314004173  AEKPR9484FCH001  6582548  07 OCT 2017 12:10  LKCMB  2  2131  192900  0  2122  0  "/>
        <s v="IEC CHA No. Job No. Job Date Port of Discharge Total Package Gross Weight (Kg) FOB(INR) Total Cess (INR) Drawback STR Total (DBK+STR) CIN NO. CIN DT. Reward Flag&#10;0509025765  AACCA2655GCH002  6583650  07 OCT 2017 12:10  MUPLU  4  522.99  214888  0  0  0  0"/>
        <s v="IEC CHA No. Job No. Job Date Port of Discharge Total Package Gross Weight (Kg) FOB(INR) Total Cess (INR) Drawback STR Total (DBK+STR) CIN NO. CIN DT. Reward Flag&#10;0505007592  AEOPA9390KCH001  6597444  07 OCT 2017 12:10  AEDXB  7  3680  2039403.1  0  40788 "/>
        <s v="IEC CHA No. Job No. Job Date Port of Discharge Total Package Gross Weight (Kg) FOB(INR) Total Cess (INR) Drawback STR Total (DBK+STR) CIN NO. CIN DT. Reward Flag&#10;0511034661  AABCC8115GCH002  6608520  09 OCT 2017 12:10  AEJEA  41  495  838767.78  0  0  0  "/>
        <s v="IEC CHA No. Job No. Job Date Port of Discharge Total Package Gross Weight (Kg) FOB(INR) Total Cess (INR) Drawback STR Total (DBK+STR) CIN NO. CIN DT. Reward Flag&#10;0510012680  AAACE2762JCH001  6654204  10 OCT 2017 12:10  GYGEO  5  88.6  39224.93  0  0  0  0"/>
        <s v="IEC CHA No. Job No. Job Date Port of Discharge Total Package Gross Weight (Kg) FOB(INR) Total Cess (INR) Drawback STR Total (DBK+STR) CIN NO. CIN DT. Reward Flag&#10;0512084262  AOWPS6493KCH001  6663590  11 OCT 2017 12:10  THBKK  1  405.74  120806.84  0  2416"/>
        <s v="IEC CHA No. Job No. Job Date Port of Discharge Total Package Gross Weight (Kg) FOB(INR) Total Cess (INR) Drawback STR Total (DBK+STR) CIN NO. CIN DT. Reward Flag&#10;0591032163  AAGCS0053ECH003  6677704  11 OCT 2017 12:10  AEJEA  273  4703  670330.07  0  1005"/>
        <s v="IEC CHA No. Job No. Job Date Port of Discharge Total Package Gross Weight (Kg) FOB(INR) Total Cess (INR) Drawback STR Total (DBK+STR) CIN NO. CIN DT. Reward Flag&#10;0592023052  AASPK9028QCH001  6678324  11 OCT 2017 12:10  THLCH  12  6528  699856.63  0  13997"/>
        <s v="IEC CHA No. Job No. Job Date Port of Discharge Total Package Gross Weight (Kg) FOB(INR) Total Cess (INR) Drawback STR Total (DBK+STR) CIN NO. CIN DT. Reward Flag&#10;0511026242  AABCC8115GCH002  6687552  12 OCT 2017 12:10  LKCMB  10  262  321500  0  3215  0  "/>
        <s v="IEC CHA No. Job No. Job Date Port of Discharge Total Package Gross Weight (Kg) FOB(INR) Total Cess (INR) Drawback STR Total (DBK+STR) CIN NO. CIN DT. Reward Flag&#10;0505000873  AOWPS6493KCH001  6699454  12 OCT 2017 12:10  MYPKG  5  3692  903209.24  0  18064 "/>
        <s v="IEC CHA No. Job No. Job Date Port of Discharge Total Package Gross Weight (Kg) FOB(INR) Total Cess (INR) Drawback STR Total (DBK+STR) CIN NO. CIN DT. Reward Flag&#10;2189000734  AQBPK4529MCH001  6770438  16 OCT 2017 12:10  CNSHA  8  323  268774  0  0  0  0  N"/>
        <s v="IEC CHA No. Job No. Job Date Port of Discharge Total Package Gross Weight (Kg) FOB(INR) Total Cess (INR) Drawback STR Total (DBK+STR) CIN NO. CIN DT. Reward Flag&#10;3104003254  AAACA3307KCH003  6781876  16 OCT 2017 12:10  USSTL  2  200  251306.1  0  5026  0 "/>
        <s v="IEC CHA No. Job No. Job Date Port of Discharge Total Package Gross Weight (Kg) FOB(INR) Total Cess (INR) Drawback STR Total (DBK+STR) CIN NO. CIN DT. Reward Flag&#10;0503014761  AAGFT5049NCH001  6789639  16 OCT 2017 12:10  LKCMB  74  1644.82  297663.54  0  0 "/>
        <s v="IEC CHA No. Job No. Job Date Port of Discharge Total Package Gross Weight (Kg) FOB(INR) Total Cess (INR) Drawback STR Total (DBK+STR) CIN NO. CIN DT. Reward Flag&#10;0302060855  AMJPS3049QCH001  6804691  17 OCT 2017 12:10  FRLEH  28  234.22  158602.8  0  0  0"/>
        <s v="IEC CHA No. Job No. Job Date Port of Discharge Total Package Gross Weight (Kg) FOB(INR) Total Cess (INR) Drawback STR Total (DBK+STR) CIN NO. CIN DT. Reward Flag&#10;0594000319  AABCH1588ECH001  6806102  17 OCT 2017 12:10  USNYC  54  867.75  1233338.3  0  0  "/>
        <s v="IEC CHA No. Job No. Job Date Port of Discharge Total Package Gross Weight (Kg) FOB(INR) Total Cess (INR) Drawback STR Total (DBK+STR) CIN NO. CIN DT. Reward Flag&#10;0500054339  AANPG2940CCH001  6813655  17 OCT 2017 12:10  AEJEA  18  800  346705.6  0  0  0  0"/>
        <s v="IEC CHA No. Job No. Job Date Port of Discharge Total Package Gross Weight (Kg) FOB(INR) Total Cess (INR) Drawback STR Total (DBK+STR) CIN NO. CIN DT. Reward Flag&#10;0501009990  ADGPM5173KCH001  6822335  17 OCT 2017 12:10  LKCMB  2  620.06  194300.45  0  0  0"/>
        <s v="IEC CHA No. Job No. Job Date Port of Discharge Total Package Gross Weight (Kg) FOB(INR) Total Cess (INR) Drawback STR Total (DBK+STR) CIN NO. CIN DT. Reward Flag&#10;0500075158  ADXPJ1610RCH001  6891009  23 OCT 2017 12:10  USBOS  16  203  299259.75  0  4589  "/>
        <s v="IEC CHA No. Job No. Job Date Port of Discharge Total Package Gross Weight (Kg) FOB(INR) Total Cess (INR) Drawback STR Total (DBK+STR) CIN NO. CIN DT. Reward Flag&#10;0512076341  AAJCA1821BCH001  6942905  25 OCT 2017 12:10  CUMZO  2  6000  4858347.55  0  97167"/>
        <s v="IEC CHA No. Job No. Job Date Port of Discharge Total Package Gross Weight (Kg) FOB(INR) Total Cess (INR) Drawback STR Total (DBK+STR) CIN NO. CIN DT. Reward Flag&#10;0510085423  AABCI7233BCH010  6961872  26 OCT 2017 12:10  LKCMB  6  38.4  32716.5  0  658  0  "/>
        <s v="IEC CHA No. Job No. Job Date Port of Discharge Total Package Gross Weight (Kg) FOB(INR) Total Cess (INR) Drawback STR Total (DBK+STR) CIN NO. CIN DT. Reward Flag&#10;0504064754  FHMPS1058ECH001  6980662  26 OCT 2017 12:10  LKCMB  2  198  85736.48  0  1715  0 "/>
        <s v="IEC CHA No. Job No. Job Date Port of Discharge Total Package Gross Weight (Kg) FOB(INR) Total Cess (INR) Drawback STR Total (DBK+STR) CIN NO. CIN DT. Reward Flag&#10;0507051360  ACOPV0617QCH001  6993498  27 OCT 2017 12:10  JPNGY  4  2620  3403998.88  0  0  0 "/>
        <s v="IEC CHA No. Job No. Job Date Port of Discharge Total Package Gross Weight (Kg) FOB(INR) Total Cess (INR) Drawback STR Total (DBK+STR) CIN NO. CIN DT. Reward Flag&#10;0500048967  AFXPK5610ECH001  7003225  27 OCT 2017 12:10  NZLYT  26  623.04  243048  0  0  0  "/>
        <s v="IEC CHA No. Job No. Job Date Port of Discharge Total Package Gross Weight (Kg) FOB(INR) Total Cess (INR) Drawback STR Total (DBK+STR) CIN NO. CIN DT. Reward Flag&#10;0592023052  FHMPS1058ECH001  7007875  27 OCT 2017 12:10  MYPKG  1  516.28  190774.4  0  3815 "/>
        <s v="IEC CHA No. Job No. Job Date Port of Discharge Total Package Gross Weight (Kg) FOB(INR) Total Cess (INR) Drawback STR Total (DBK+STR) CIN NO. CIN DT. Reward Flag&#10;0511002459  AACCJ6018NCH001  7008660  27 OCT 2017 12:10  ZAJNB  2  619.2  275331.8  0  5507  "/>
        <s v="IEC CHA No. Job No. Job Date Port of Discharge Total Package Gross Weight (Kg) FOB(INR) Total Cess (INR) Drawback STR Total (DBK+STR) CIN NO. CIN DT. Reward Flag&#10;0508028078  AAECB3928MCH001  7039088  30 OCT 2017 12:10  DEHAM  1  465  273728  0  0  0  0  N"/>
        <s v="IEC CHA No. Job No. Job Date Port of Discharge Total Package Gross Weight (Kg) FOB(INR) Total Cess (INR) Drawback STR Total (DBK+STR) CIN NO. CIN DT. Reward Flag&#10;0517542374  AAJPK0196LCH001  7046224  30 OCT 2017 12:10  AEJEA  11  13950  975000  0  19500  "/>
        <s v="IEC CHA No. Job No. Job Date Port of Discharge Total Package Gross Weight (Kg) FOB(INR) Total Cess (INR) Drawback STR Total (DBK+STR) CIN NO. CIN DT. Reward Flag&#10;0591028549  AAECB3928MCH001  7049582  30 OCT 2017 12:10  USHOU  1  271.647  255637.75  0  0  "/>
        <s v="IEC CHA No. Job No. Job Date Port of Discharge Total Package Gross Weight (Kg) FOB(INR) Total Cess (INR) Drawback STR Total (DBK+STR) CIN NO. CIN DT. Reward Flag&#10;3104003254  AAACA3307KCH003  7054953  30 OCT 2017 12:10  ARBUE  6  888  973732.85  0  19475  "/>
        <s v="IEC CHA No. Job No. Job Date Port of Discharge Total Package Gross Weight (Kg) FOB(INR) Total Cess (INR) Drawback STR Total (DBK+STR) CIN NO. CIN DT. Reward Flag&#10;0506059944  AGYPS4804QCH001  7072682  31 OCT 2017 12:10  QADOH  374  18737.4  189434.95  0  0"/>
        <s v="IEC CHA No. Job No. Job Date Port of Discharge Total Package Gross Weight (Kg) FOB(INR) Total Cess (INR) Drawback STR Total (DBK+STR) CIN NO. CIN DT. Reward Flag&#10;0597017891  AAZPM1462DCH001  7078745  31 OCT 2017 12:10  ESVLC  50  715.9  176314.99  0  2515"/>
        <s v="IEC CHA No. Job No. Job Date Port of Discharge Total Package Gross Weight (Kg) FOB(INR) Total Cess (INR) Drawback STR Total (DBK+STR) CIN NO. CIN DT. Reward Flag&#10;0597017891  AAACT0334RCH001  7088779  31 OCT 2017 12:10  USLAX  58  1299.1  309895.82  0  492"/>
        <s v="IEC CHA No. Job No. Job Date Port of Discharge Total Package Gross Weight (Kg) FOB(INR) Total Cess (INR) Drawback STR Total (DBK+STR) CIN NO. CIN DT. Reward Flag&#10;0504038966  AAACU5306LCH002  7103357  01 NOV 2017 12:11  NLRTM  2  1487  220967.68  0  4419  "/>
        <s v="IEC CHA No. Job No. Job Date Port of Discharge Total Package Gross Weight (Kg) FOB(INR) Total Cess (INR) Drawback STR Total (DBK+STR) CIN NO. CIN DT. Reward Flag&#10;0511002459  AACCJ6018NCH001  7132173  02 NOV 2017 12:11  AEJEA  1  360.4  95400.03  0  1908  "/>
        <s v="IEC CHA No. Job No. Job Date Port of Discharge Total Package Gross Weight (Kg) FOB(INR) Total Cess (INR) Drawback STR Total (DBK+STR) CIN NO. CIN DT. Reward Flag&#10;0288014952  AVAPS6694RCH001  7155035  03 NOV 2017 12:11  BDCGP  94  3601  1018340.05  0  1941"/>
        <s v="IEC CHA No. Job No. Job Date Port of Discharge Total Package Gross Weight (Kg) FOB(INR) Total Cess (INR) Drawback STR Total (DBK+STR) CIN NO. CIN DT. Reward Flag&#10;3014016713  AAACV8475HCH022  7163347  03 NOV 2017 12:11  NZAKL  79  1076.5  712293.4  0  1068"/>
        <s v="IEC CHA No. Job No. Job Date Port of Discharge Total Package Gross Weight (Kg) FOB(INR) Total Cess (INR) Drawback STR Total (DBK+STR) CIN NO. CIN DT. Reward Flag&#10;3303004897  AAKFT7074RCH001  7164309  03 NOV 2017 12:11  IRBND  5  41  128124.91  0  0  0  0 "/>
        <s v="IEC CHA No. Job No. Job Date Port of Discharge Total Package Gross Weight (Kg) FOB(INR) Total Cess (INR) Drawback STR Total (DBK+STR) CIN NO. CIN DT. Reward Flag&#10;0506074285  AAEPI0406QCH001  7167836  03 NOV 2017 12:11  USNYC  17  222.19  440248.38  0  880"/>
        <s v="IEC CHA No. Job No. Job Date Port of Discharge Total Package Gross Weight (Kg) FOB(INR) Total Cess (INR) Drawback STR Total (DBK+STR) CIN NO. CIN DT. Reward Flag&#10;0598032801  ADDPA2722RCH001  7204550  06 NOV 2017 12:11  BHBAH  273  4000  641675.58  0  9717"/>
        <s v="IEC CHA No. Job No. Job Date Port of Discharge Total Package Gross Weight (Kg) FOB(INR) Total Cess (INR) Drawback STR Total (DBK+STR) CIN NO. CIN DT. Reward Flag&#10;0515933520  AAFCS0723ACH002  7207933  06 NOV 2017 12:11  TZDAR  38  1838.04  1017689.67  0  1"/>
        <s v="IEC CHA No. Job No. Job Date Port of Discharge Total Package Gross Weight (Kg) FOB(INR) Total Cess (INR) Drawback STR Total (DBK+STR) CIN NO. CIN DT. Reward Flag&#10;0507062884  AYZPP5973GCH001  7214312  06 NOV 2017 12:11  BRSSZ  55  2712  1399905  0  27998  "/>
        <s v="IEC CHA No. Job No. Job Date Port of Discharge Total Package Gross Weight (Kg) FOB(INR) Total Cess (INR) Drawback STR Total (DBK+STR) CIN NO. CIN DT. Reward Flag&#10;0515019933  AADCA0273BCH001  7220585  07 NOV 2017 12:11  BJCOO  859  26003.19  8942925.17  0 "/>
        <s v="IEC CHA No. Job No. Job Date Port of Discharge Total Package Gross Weight (Kg) FOB(INR) Total Cess (INR) Drawback STR Total (DBK+STR) CIN NO. CIN DT. Reward Flag&#10;0615002285  AAIFP4144LCH001  7222734  07 NOV 2017 12:11  IRBND  1304  18977.5  3567531.24  0 "/>
        <s v="IEC CHA No. Job No. Job Date Port of Discharge Total Package Gross Weight (Kg) FOB(INR) Total Cess (INR) Drawback STR Total (DBK+STR) CIN NO. CIN DT. Reward Flag&#10;0504008455  AHDPK8975CCH001  7225133  07 NOV 2017 12:11  KEMBA  49  940.02  343317.52  0  686"/>
        <s v="IEC CHA No. Job No. Job Date Port of Discharge Total Package Gross Weight (Kg) FOB(INR) Total Cess (INR) Drawback STR Total (DBK+STR) CIN NO. CIN DT. Reward Flag&#10;0597017891  AAZPM1462DCH001  7263106  08 NOV 2017 12:11  AEJEA  21  478.3  93799.52  0  1820 "/>
        <s v="IEC CHA No. Job No. Job Date Port of Discharge Total Package Gross Weight (Kg) FOB(INR) Total Cess (INR) Drawback STR Total (DBK+STR) CIN NO. CIN DT. Reward Flag&#10;0515019372  BEEPS0785MCH001  7273642  09 NOV 2017 12:11  ITNPL  153  2662.45  806736.74  0  1"/>
        <s v="IEC CHA No. Job No. Job Date Port of Discharge Total Package Gross Weight (Kg) FOB(INR) Total Cess (INR) Drawback STR Total (DBK+STR) CIN NO. CIN DT. Reward Flag&#10;0500075158  ADXPJ1610RCH001  7278026  09 NOV 2017 12:11  USBOS  7  78  206292.45  0  4126  0 "/>
        <s v="IEC CHA No. Job No. Job Date Port of Discharge Total Package Gross Weight (Kg) FOB(INR) Total Cess (INR) Drawback STR Total (DBK+STR) CIN NO. CIN DT. Reward Flag&#10;0512057273  AABCR5347PCH001  7289922  09 NOV 2017 12:11  USHOU  114  2910  293944.92  0  4409"/>
        <s v="IEC CHA No. Job No. Job Date Port of Discharge Total Package Gross Weight (Kg) FOB(INR) Total Cess (INR) Drawback STR Total (DBK+STR) CIN NO. CIN DT. Reward Flag&#10;0504011057  AFBPM9459DCH001  7342938  13 NOV 2017 12:11  TJLBD  1514  21400  6950990.5  0  10"/>
        <s v="IEC CHA No. Job No. Job Date Port of Discharge Total Package Gross Weight (Kg) FOB(INR) Total Cess (INR) Drawback STR Total (DBK+STR) CIN NO. CIN DT. Reward Flag&#10;5212012333  AAVCS2245KCH001  7425011  16 NOV 2017 12:11  AEJEA  86  1570  4408141.92  0  8816"/>
        <s v="IEC CHA No. Job No. Job Date Port of Discharge Total Package Gross Weight (Kg) FOB(INR) Total Cess (INR) Drawback STR Total (DBK+STR) CIN NO. CIN DT. Reward Flag&#10;0314004173  AEKPR9484FCH001  7445764  16 NOV 2017 12:11  KRBUS  8  12245  1535743.3  0  16893"/>
        <s v="IEC CHA No. Job No. Job Date Port of Discharge Total Package Gross Weight (Kg) FOB(INR) Total Cess (INR) Drawback STR Total (DBK+STR) CIN NO. CIN DT. Reward Flag&#10;0588044440  AACCP0287DCH001  7459328  17 NOV 2017 12:11  CNTAO  1  150  31092.15  0  622  0  "/>
        <s v="IEC CHA No. Job No. Job Date Port of Discharge Total Package Gross Weight (Kg) FOB(INR) Total Cess (INR) Drawback STR Total (DBK+STR) CIN NO. CIN DT. Reward Flag&#10;0588044440  AACCP0287DCH001  7459451  17 NOV 2017 12:11  CNTAO  10  7278  1083421.48  0  2166"/>
        <s v="IEC CHA No. Job No. Job Date Port of Discharge Total Package Gross Weight (Kg) FOB(INR) Total Cess (INR) Drawback STR Total (DBK+STR) CIN NO. CIN DT. Reward Flag&#10;0506012905  FHMPS1058ECH001  7523924  20 NOV 2017 12:11  MYPKG  30  25390  1221791.25  0  0  "/>
        <s v="IEC CHA No. Job No. Job Date Port of Discharge Total Package Gross Weight (Kg) FOB(INR) Total Cess (INR) Drawback STR Total (DBK+STR) CIN NO. CIN DT. Reward Flag&#10;0507004761  AADCR9553KCH003  7532585  21 NOV 2017 12:11  KEMBA  3  1365  980400  0  19608  0 "/>
        <s v="IEC CHA No. Job No. Job Date Port of Discharge Total Package Gross Weight (Kg) FOB(INR) Total Cess (INR) Drawback STR Total (DBK+STR) CIN NO. CIN DT. Reward Flag&#10;0515015504  AHDPK8975CCH001  7543728  21 NOV 2017 12:11  SARUH  964  14303.76  5708637  0  11"/>
        <s v="IEC CHA No. Job No. Job Date Port of Discharge Total Package Gross Weight (Kg) FOB(INR) Total Cess (INR) Drawback STR Total (DBK+STR) CIN NO. CIN DT. Reward Flag&#10;3091000621  AGVPS9920JCH001  7548095  21 NOV 2017 12:11  SARUH  142  5041  5898834.6  0  1472"/>
        <s v="IEC CHA No. Job No. Job Date Port of Discharge Total Package Gross Weight (Kg) FOB(INR) Total Cess (INR) Drawback STR Total (DBK+STR) CIN NO. CIN DT. Reward Flag&#10;0505000873  AOWPS6493KCH001  7556186  22 NOV 2017 12:11  THBKK  2  543.35  612417.83  0  1141"/>
        <s v="IEC CHA No. Job No. Job Date Port of Discharge Total Package Gross Weight (Kg) FOB(INR) Total Cess (INR) Drawback STR Total (DBK+STR) CIN NO. CIN DT. Reward Flag&#10;1414003447  AAACC6689ECH001  7565077  22 NOV 2017 12:11  CUHAV  20  120  541800  0  8127  0  "/>
        <s v="IEC CHA No. Job No. Job Date Port of Discharge Total Package Gross Weight (Kg) FOB(INR) Total Cess (INR) Drawback STR Total (DBK+STR) CIN NO. CIN DT. Reward Flag&#10;0500075158  ADXPJ1610RCH001  7567166  22 NOV 2017 12:11  USBOS  79  950  1855697.25  0  37114"/>
        <s v="IEC CHA No. Job No. Job Date Port of Discharge Total Package Gross Weight (Kg) FOB(INR) Total Cess (INR) Drawback STR Total (DBK+STR) CIN NO. CIN DT. Reward Flag&#10;0509047491  AOWPS6493KCH001  7574201  22 NOV 2017 12:11  BDCGP  1000  9344.5  967500  0  1451"/>
        <s v="IEC CHA No. Job No. Job Date Port of Discharge Total Package Gross Weight (Kg) FOB(INR) Total Cess (INR) Drawback STR Total (DBK+STR) CIN NO. CIN DT. Reward Flag&#10;3307004344  AAAFA8105CCH001  7574720  22 NOV 2017 12:11  LKCMB  5  54.75  73530  0  1471  0  "/>
        <s v="IEC CHA No. Job No. Job Date Port of Discharge Total Package Gross Weight (Kg) FOB(INR) Total Cess (INR) Drawback STR Total (DBK+STR) CIN NO. CIN DT. Reward Flag&#10;0709012331  AACCN5026ECH007  7575851  22 NOV 2017 12:11  PACFZ  18  8427  4276460.94  0  8552"/>
        <s v="IEC CHA No. Job No. Job Date Port of Discharge Total Package Gross Weight (Kg) FOB(INR) Total Cess (INR) Drawback STR Total (DBK+STR) CIN NO. CIN DT. Reward Flag&#10;0598045783  FHMPS1058ECH001  7576325  22 NOV 2017 12:11  KEMBA  34  636  406995  0  0  0  0  "/>
        <s v="IEC CHA No. Job No. Job Date Port of Discharge Total Package Gross Weight (Kg) FOB(INR) Total Cess (INR) Drawback STR Total (DBK+STR) CIN NO. CIN DT. Reward Flag&#10;0595059040  AAGCA1465QCH001  7595016  23 NOV 2017 12:11  THBKK  50  2690.27  736994.88  0  14"/>
        <s v="IEC CHA No. Job No. Job Date Port of Discharge Total Package Gross Weight (Kg) FOB(INR) Total Cess (INR) Drawback STR Total (DBK+STR) CIN NO. CIN DT. Reward Flag&#10;0592023052  AACCP0287DCH001  7603656  23 NOV 2017 12:11  TRAMB  5  2530  429786.56  0  8596  "/>
        <s v="IEC CHA No. Job No. Job Date Port of Discharge Total Package Gross Weight (Kg) FOB(INR) Total Cess (INR) Drawback STR Total (DBK+STR) CIN NO. CIN DT. Reward Flag&#10;0504011057  AFBPM9459DCH001  7677446  27 NOV 2017 12:11  UZSKD  1196  15600  5296337.45  0  6"/>
        <s v="IEC CHA No. Job No. Job Date Port of Discharge Total Package Gross Weight (Kg) FOB(INR) Total Cess (INR) Drawback STR Total (DBK+STR) CIN NO. CIN DT. Reward Flag&#10;0589043838  AAEFH1939HCH001  7690243  28 NOV 2017 12:11  KEMBA  32  1450  797394.15  0  11926"/>
        <s v="IEC CHA No. Job No. Job Date Port of Discharge Total Package Gross Weight (Kg) FOB(INR) Total Cess (INR) Drawback STR Total (DBK+STR) CIN NO. CIN DT. Reward Flag&#10;0507051360  AAAFJ1721HCH058  7702003  28 NOV 2017 12:11  THBKK  2  300  386600.1  0  806  0  "/>
        <s v="IEC CHA No. Job No. Job Date Port of Discharge Total Package Gross Weight (Kg) FOB(INR) Total Cess (INR) Drawback STR Total (DBK+STR) CIN NO. CIN DT. Reward Flag&#10;0592006832  AAACC6689ECH001  7707559  28 NOV 2017 12:11  SRPBM  43  994.5  454005.83  0  0  0"/>
        <s v="IEC CHA No. Job No. Job Date Port of Discharge Total Package Gross Weight (Kg) FOB(INR) Total Cess (INR) Drawback STR Total (DBK+STR) CIN NO. CIN DT. Reward Flag&#10;0510019439  AACCP0287DCH001  7716769  29 NOV 2017 12:11  USCLE  720  18150  232200  0  0  0  "/>
        <s v="IEC CHA No. Job No. Job Date Port of Discharge Total Package Gross Weight (Kg) FOB(INR) Total Cess (INR) Drawback STR Total (DBK+STR) CIN NO. CIN DT. Reward Flag&#10;0515933520  AAFCS0723ACH002  7732118  29 NOV 2017 12:11  TZDAR  17  639.71  218143.52  0  320"/>
        <s v="IEC CHA No. Job No. Job Date Port of Discharge Total Package Gross Weight (Kg) FOB(INR) Total Cess (INR) Drawback STR Total (DBK+STR) CIN NO. CIN DT. Reward Flag&#10;0514078901  AABCT9850BCH003  7734839  29 NOV 2017 12:11  LKCMB  1  1102  1352758.5  0  0  0  "/>
        <s v="IEC CHA No. Job No. Job Date Port of Discharge Total Package Gross Weight (Kg) FOB(INR) Total Cess (INR) Drawback STR Total (DBK+STR) CIN NO. CIN DT. Reward Flag&#10;0514078901  AABCT9850BCH003  7734853  29 NOV 2017 12:11  LKCMB  2  1032  2022075  0  0  0  0 "/>
        <s v="IEC CHA No. Job No. Job Date Port of Discharge Total Package Gross Weight (Kg) FOB(INR) Total Cess (INR) Drawback STR Total (DBK+STR) CIN NO. CIN DT. Reward Flag&#10;0511068212  AHDPK8975CCH001  7734955  29 NOV 2017 12:11  BDCGP  400  4000  603075  0  905  0 "/>
        <s v="IEC CHA No. Job No. Job Date Port of Discharge Total Package Gross Weight (Kg) FOB(INR) Total Cess (INR) Drawback STR Total (DBK+STR) CIN NO. CIN DT. Reward Flag&#10;3393002155  AAACU5306LCH002  7747640  30 NOV 2017 12:11  USNYC  1  267.6  191565  0  1164  0 "/>
        <s v="IEC CHA No. Job No. Job Date Port of Discharge Total Package Gross Weight (Kg) FOB(INR) Total Cess (INR) Drawback STR Total (DBK+STR) CIN NO. CIN DT. Reward Flag&#10;3003005391  AAJFT3321JCH001  7760698  30 NOV 2017 12:11  LKCMB  301  6597.4  1783360.5  0  15"/>
        <s v="IEC CHA No. Job No. Job Date Port of Discharge Total Package Gross Weight (Kg) FOB(INR) Total Cess (INR) Drawback STR Total (DBK+STR) CIN NO. CIN DT. Reward Flag&#10;0500075158  ADXPJ1610RCH001  7762461  30 NOV 2017 12:11  USBOS  19  215  219493.5  0  3781  0"/>
        <s v="IEC CHA No. Job No. Job Date Port of Discharge Total Package Gross Weight (Kg) FOB(INR) Total Cess (INR) Drawback STR Total (DBK+STR) CIN NO. CIN DT. Reward Flag&#10;0500075158  ADXPJ1610RCH001  7762485  30 NOV 2017 12:11  USBOS  12  158  209012.25  0  4180  "/>
        <s v="IEC CHA No. Job No. Job Date Port of Discharge Total Package Gross Weight (Kg) FOB(INR) Total Cess (INR) Drawback STR Total (DBK+STR) CIN NO. CIN DT. Reward Flag&#10;0509003061  AADCR9553KCH003  7765508  30 NOV 2017 12:11  MXATM  1  395  401125.5  0  5780  0 "/>
        <s v="IEC CHA No. Job No. Job Date Port of Discharge Total Package Gross Weight (Kg) FOB(INR) Total Cess (INR) Drawback STR Total (DBK+STR) CIN NO. CIN DT. Reward Flag&#10;0509003061  AADCR9553KCH003  7767682  30 NOV 2017 12:11  MXATM  16  4560  7457793.15  0  6647"/>
        <s v="IEC CHA No. Job No. Job Date Port of Discharge Total Package Gross Weight (Kg) FOB(INR) Total Cess (INR) Drawback STR Total (DBK+STR) CIN NO. CIN DT. Reward Flag&#10;0512064172  AKMPA9089KCH001  7768027  30 NOV 2017 12:11  AEJEA  24  1000  1993836.32  0  4172"/>
        <s v="IEC CHA No. Job No. Job Date Port of Discharge Total Package Gross Weight (Kg) FOB(INR) Total Cess (INR) Drawback STR Total (DBK+STR) CIN NO. CIN DT. Reward Flag&#10;0513021612  AEOPA9390KCH001  7768840  30 NOV 2017 12:11  MUPLU  64  1072  564385.32  0  11074"/>
        <s v="IEC CHA No. Job No. Job Date Port of Discharge Total Package Gross Weight (Kg) FOB(INR) Total Cess (INR) Drawback STR Total (DBK+STR) CIN NO. CIN DT. Reward Flag&#10;0516526065  AADCA0273BCH001  7783051  01 DEC 2017 12:12  USDAL  168  1974.3  335390.33  0  63"/>
        <s v="IEC CHA No. Job No. Job Date Port of Discharge Total Package Gross Weight (Kg) FOB(INR) Total Cess (INR) Drawback STR Total (DBK+STR) CIN NO. CIN DT. Reward Flag&#10;0504077104  AASPK9028QCH001  7788226  01 DEC 2017 12:12  CHZRH  21  1385  312647.4  0  6878  "/>
        <s v="IEC CHA No. Job No. Job Date Port of Discharge Total Package Gross Weight (Kg) FOB(INR) Total Cess (INR) Drawback STR Total (DBK+STR) CIN NO. CIN DT. Reward Flag&#10;0588062359  AEEPG2440LCH001  7792284  01 DEC 2017 12:12  CAMTR  6  65  124333.92  0  2487  0 "/>
        <s v="IEC CHA No. Job No. Job Date Port of Discharge Total Package Gross Weight (Kg) FOB(INR) Total Cess (INR) Drawback STR Total (DBK+STR) CIN NO. CIN DT. Reward Flag&#10;0588062359  AEEPG2440LCH001  7792296  01 DEC 2017 12:12  USNYC  2  21  46557.5  0  0  0  0  N"/>
        <s v="IEC CHA No. Job No. Job Date Port of Discharge Total Package Gross Weight (Kg) FOB(INR) Total Cess (INR) Drawback STR Total (DBK+STR) CIN NO. CIN DT. Reward Flag&#10;0588062359  AEEPG2440LCH001  7792342  01 DEC 2017 12:12  CAMTR  2  21  46557.5  0  0  0  0  N"/>
        <s v="IEC CHA No. Job No. Job Date Port of Discharge Total Package Gross Weight (Kg) FOB(INR) Total Cess (INR) Drawback STR Total (DBK+STR) CIN NO. CIN DT. Reward Flag&#10;0516954725  AVAPS6694RCH001  7826882  04 DEC 2017 12:12  OMSOH  20  670  492780  0  0  0  0  "/>
        <s v="IEC CHA No. Job No. Job Date Port of Discharge Total Package Gross Weight (Kg) FOB(INR) Total Cess (INR) Drawback STR Total (DBK+STR) CIN NO. CIN DT. Reward Flag&#10;0588062359  AEEPG2440LCH001  7833526  04 DEC 2017 12:12  USNYC  8  93  181320.3  0  3626  0  "/>
        <s v="IEC CHA No. Job No. Job Date Port of Discharge Total Package Gross Weight (Kg) FOB(INR) Total Cess (INR) Drawback STR Total (DBK+STR) CIN NO. CIN DT. Reward Flag&#10;0588062359  AEEPG2440LCH001  7834610  04 DEC 2017 12:12  USNYC  4  43  97770.75  0  882  0  8"/>
        <s v="IEC CHA No. Job No. Job Date Port of Discharge Total Package Gross Weight (Kg) FOB(INR) Total Cess (INR) Drawback STR Total (DBK+STR) CIN NO. CIN DT. Reward Flag&#10;2203003405  AABCS7195NCH001  7834787  04 DEC 2017 12:12  FRLEH  23  24570  2422086.05  0  484"/>
        <s v="IEC CHA No. Job No. Job Date Port of Discharge Total Package Gross Weight (Kg) FOB(INR) Total Cess (INR) Drawback STR Total (DBK+STR) CIN NO. CIN DT. Reward Flag&#10;0505000873  AOWPS6493KCH001  7840211  04 DEC 2017 12:12  MYPKG  4  2825.3  773677.5  0  15474"/>
        <s v="IEC CHA No. Job No. Job Date Port of Discharge Total Package Gross Weight (Kg) FOB(INR) Total Cess (INR) Drawback STR Total (DBK+STR) CIN NO. CIN DT. Reward Flag&#10;3000004394  AAEPI0406QCH001  7859753  05 DEC 2017 12:12  GBFXT  52  784.09  1357362.75  0  27"/>
        <s v="IEC CHA No. Job No. Job Date Port of Discharge Total Package Gross Weight (Kg) FOB(INR) Total Cess (INR) Drawback STR Total (DBK+STR) CIN NO. CIN DT. Reward Flag&#10;0504019392  AVAPS6694RCH001  7867709  05 DEC 2017 12:12  DEHAM  6  2589.96  920478.94  0  112"/>
        <s v="IEC CHA No. Job No. Job Date Port of Discharge Total Package Gross Weight (Kg) FOB(INR) Total Cess (INR) Drawback STR Total (DBK+STR) CIN NO. CIN DT. Reward Flag&#10;0501016481  AABCT4959MCH001  7867772  05 DEC 2017 12:12  MXZLO  34  930  392459.28  0  5237  "/>
        <s v="IEC CHA No. Job No. Job Date Port of Discharge Total Package Gross Weight (Kg) FOB(INR) Total Cess (INR) Drawback STR Total (DBK+STR) CIN NO. CIN DT. Reward Flag&#10;0588128180  AATPS3087NCH001  7869014  05 DEC 2017 12:12  ZADUR  596  14834  1666744.5  0  229"/>
        <s v="IEC CHA No. Job No. Job Date Port of Discharge Total Package Gross Weight (Kg) FOB(INR) Total Cess (INR) Drawback STR Total (DBK+STR) CIN NO. CIN DT. Reward Flag&#10;0504077171  AKOPK7974PCH001  7883107  06 DEC 2017 12:12  LKCMB  2100  105210  2719320  0  0  "/>
        <s v="IEC CHA No. Job No. Job Date Port of Discharge Total Package Gross Weight (Kg) FOB(INR) Total Cess (INR) Drawback STR Total (DBK+STR) CIN NO. CIN DT. Reward Flag&#10;0514067969  ADXPJ1610RCH001  7887075  06 DEC 2017 12:12  USNYC  116  2552  1638558  0  2458  "/>
        <s v="IEC CHA No. Job No. Job Date Port of Discharge Total Package Gross Weight (Kg) FOB(INR) Total Cess (INR) Drawback STR Total (DBK+STR) CIN NO. CIN DT. Reward Flag&#10;0500050139  AACFL6638BCH001  7901913  06 DEC 2017 12:12  USSVQ  2698  16620  5315986.8  0  0 "/>
        <s v="IEC CHA No. Job No. Job Date Port of Discharge Total Package Gross Weight (Kg) FOB(INR) Total Cess (INR) Drawback STR Total (DBK+STR) CIN NO. CIN DT. Reward Flag&#10;0504077171  AKOPK7974PCH001  7906837  07 DEC 2017 12:12  LKCMB  2100  105210  2177520  0  0  "/>
        <s v="IEC CHA No. Job No. Job Date Port of Discharge Total Package Gross Weight (Kg) FOB(INR) Total Cess (INR) Drawback STR Total (DBK+STR) CIN NO. CIN DT. Reward Flag&#10;0504077171  AKOPK7974PCH001  7932802  07 DEC 2017 12:12  LKCMB  2100  105210  2177520  0  0  "/>
        <s v="IEC CHA No. Job No. Job Date Port of Discharge Total Package Gross Weight (Kg) FOB(INR) Total Cess (INR) Drawback STR Total (DBK+STR) CIN NO. CIN DT. Reward Flag&#10;0501016481  AABCT4959MCH001  7991212  11 DEC 2017 12:12  ESBCN  29  505  918586.89  0  1744  "/>
        <s v="IEC CHA No. Job No. Job Date Port of Discharge Total Package Gross Weight (Kg) FOB(INR) Total Cess (INR) Drawback STR Total (DBK+STR) CIN NO. CIN DT. Reward Flag&#10;0514025026  ARPPK3328RCH001  7993460  11 DEC 2017 12:12  BDCGP  10  344  63700  0  1274  0  1"/>
        <s v="IEC CHA No. Job No. Job Date Port of Discharge Total Package Gross Weight (Kg) FOB(INR) Total Cess (INR) Drawback STR Total (DBK+STR) CIN NO. CIN DT. Reward Flag&#10;0598059113  AASPK9028QCH001  7994500  11 DEC 2017 12:12  AEJEA  845  10250  1384583.2  0  276"/>
        <s v="IEC CHA No. Job No. Job Date Port of Discharge Total Package Gross Weight (Kg) FOB(INR) Total Cess (INR) Drawback STR Total (DBK+STR) CIN NO. CIN DT. Reward Flag&#10;0500050139  AACFL6638BCH001  7996260  11 DEC 2017 12:12  USSVQ  837  3013  1225222.36  0  0  "/>
        <s v="IEC CHA No. Job No. Job Date Port of Discharge Total Package Gross Weight (Kg) FOB(INR) Total Cess (INR) Drawback STR Total (DBK+STR) CIN NO. CIN DT. Reward Flag&#10;0593033043  AACFT3186ACH001  7999808  11 DEC 2017 12:12  MUPLU  78  1541  372527.7  0  0  0  "/>
        <s v="IEC CHA No. Job No. Job Date Port of Discharge Total Package Gross Weight (Kg) FOB(INR) Total Cess (INR) Drawback STR Total (DBK+STR) CIN NO. CIN DT. Reward Flag&#10;0504077171  AKOPK7974PCH001  8012908  12 DEC 2017 12:12  LKCMB  2100  105210  2685592  0  0  "/>
        <s v="IEC CHA No. Job No. Job Date Port of Discharge Total Package Gross Weight (Kg) FOB(INR) Total Cess (INR) Drawback STR Total (DBK+STR) CIN NO. CIN DT. Reward Flag&#10;0595008844  ADFFS3281FCH001  8013530  12 DEC 2017 12:12  AEJEA  467  7322.56  1608475.96  0  "/>
        <s v="IEC CHA No. Job No. Job Date Port of Discharge Total Package Gross Weight (Kg) FOB(INR) Total Cess (INR) Drawback STR Total (DBK+STR) CIN NO. CIN DT. Reward Flag&#10;0505075172  AACCP0287DCH001  8013940  12 DEC 2017 12:12  BDCGP  1  206  1039584  0  20792  0 "/>
        <s v="IEC CHA No. Job No. Job Date Port of Discharge Total Package Gross Weight (Kg) FOB(INR) Total Cess (INR) Drawback STR Total (DBK+STR) CIN NO. CIN DT. Reward Flag&#10;0515934062  FHMPS1058ECH001  8036399  13 DEC 2017 12:12  FRLEH  281  5718  4318672.85  0  644"/>
        <s v="IEC CHA No. Job No. Job Date Port of Discharge Total Package Gross Weight (Kg) FOB(INR) Total Cess (INR) Drawback STR Total (DBK+STR) CIN NO. CIN DT. Reward Flag&#10;0508028078  AAECB3928MCH001  8039774  13 DEC 2017 12:12  FRFOS  5  880  574997.7  0  11500  0"/>
        <s v="IEC CHA No. Job No. Job Date Port of Discharge Total Package Gross Weight (Kg) FOB(INR) Total Cess (INR) Drawback STR Total (DBK+STR) CIN NO. CIN DT. Reward Flag&#10;0504011057  AFBPM9459DCH001  8049444  13 DEC 2017 12:12  TJDYU  1410  20200  4751183.62  0  7"/>
        <s v="IEC CHA No. Job No. Job Date Port of Discharge Total Package Gross Weight (Kg) FOB(INR) Total Cess (INR) Drawback STR Total (DBK+STR) CIN NO. CIN DT. Reward Flag&#10;1306014115  AAAFA8105CCH001  8051412  13 DEC 2017 12:12  GNCKY  1528  16576  3502863  0  7005"/>
        <s v="IEC CHA No. Job No. Job Date Port of Discharge Total Package Gross Weight (Kg) FOB(INR) Total Cess (INR) Drawback STR Total (DBK+STR) CIN NO. CIN DT. Reward Flag&#10;3104003254  AAACA3307KCH003  8075620  14 DEC 2017 12:12  USSTL  1  190  195653  0  3913  0  3"/>
        <s v="IEC CHA No. Job No. Job Date Port of Discharge Total Package Gross Weight (Kg) FOB(INR) Total Cess (INR) Drawback STR Total (DBK+STR) CIN NO. CIN DT. Reward Flag&#10;0504077171  AKOPK7974PCH001  8076740  14 DEC 2017 12:12  LKCMB  2100  105210  2150512  0  0  "/>
        <s v="IEC CHA No. Job No. Job Date Port of Discharge Total Package Gross Weight (Kg) FOB(INR) Total Cess (INR) Drawback STR Total (DBK+STR) CIN NO. CIN DT. Reward Flag&#10;0500050139  AACFL6638BCH001  8080739  14 DEC 2017 12:12  KRBUS  1271  9104  2559455.81  0  0 "/>
        <s v="IEC CHA No. Job No. Job Date Port of Discharge Total Package Gross Weight (Kg) FOB(INR) Total Cess (INR) Drawback STR Total (DBK+STR) CIN NO. CIN DT. Reward Flag&#10;0713000201  AADCA0273BCH001  8096438  15 DEC 2017 12:12  USNWK  207  3254.2  652493.11  0  0 "/>
        <s v="IEC CHA No. Job No. Job Date Port of Discharge Total Package Gross Weight (Kg) FOB(INR) Total Cess (INR) Drawback STR Total (DBK+STR) CIN NO. CIN DT. Reward Flag&#10;0589053850  AVAPS6694RCH001  8098741  15 DEC 2017 12:12  AEJEA  6  3418  379053.22  0  7581  "/>
        <s v="IEC CHA No. Job No. Job Date Port of Discharge Total Package Gross Weight (Kg) FOB(INR) Total Cess (INR) Drawback STR Total (DBK+STR) CIN NO. CIN DT. Reward Flag&#10;0516526065  AADCA0273BCH001  8110740  15 DEC 2017 12:12  USDAL  238  2224.73  374313.94  0  7"/>
        <s v="IEC CHA No. Job No. Job Date Port of Discharge Total Package Gross Weight (Kg) FOB(INR) Total Cess (INR) Drawback STR Total (DBK+STR) CIN NO. CIN DT. Reward Flag&#10;3011014116  ABSPN4101ECH001  8111183  15 DEC 2017 12:12  USDAL  74  1118  489056.75  0  7336 "/>
        <s v="IEC CHA No. Job No. Job Date Port of Discharge Total Package Gross Weight (Kg) FOB(INR) Total Cess (INR) Drawback STR Total (DBK+STR) CIN NO. CIN DT. Reward Flag&#10;0504077171  AKOPK7974PCH001  8143267  18 DEC 2017 12:12  LKCMB  2100  105210  2150512  0  0  "/>
        <s v="IEC CHA No. Job No. Job Date Port of Discharge Total Package Gross Weight (Kg) FOB(INR) Total Cess (INR) Drawback STR Total (DBK+STR) CIN NO. CIN DT. Reward Flag&#10;0593052561  AAJPK0196LCH001  8148460  18 DEC 2017 12:12  ITGOA  1  11.65  17784.36  0  0  0  "/>
        <s v="IEC CHA No. Job No. Job Date Port of Discharge Total Package Gross Weight (Kg) FOB(INR) Total Cess (INR) Drawback STR Total (DBK+STR) CIN NO. CIN DT. Reward Flag&#10;0389025364  AAJCA1821BCH001  8150914  18 DEC 2017 12:12  IRBND  2  4881.8  138632.22  0  2773"/>
        <s v="IEC CHA No. Job No. Job Date Port of Discharge Total Package Gross Weight (Kg) FOB(INR) Total Cess (INR) Drawback STR Total (DBK+STR) CIN NO. CIN DT. Reward Flag&#10;0505000873  AOWPS6493KCH001  8157051  18 DEC 2017 12:12  MYPKG  4  3005.7  912916.55  0  1825"/>
        <s v="IEC CHA No. Job No. Job Date Port of Discharge Total Package Gross Weight (Kg) FOB(INR) Total Cess (INR) Drawback STR Total (DBK+STR) CIN NO. CIN DT. Reward Flag&#10;0505000873  AOWPS6493KCH001  8157068  18 DEC 2017 12:12  MYPKG  3  1102.11  475953.66  0  923"/>
        <s v="IEC CHA No. Job No. Job Date Port of Discharge Total Package Gross Weight (Kg) FOB(INR) Total Cess (INR) Drawback STR Total (DBK+STR) CIN NO. CIN DT. Reward Flag&#10;0589036734  AEOPA9390KCH001  8165862  18 DEC 2017 12:12  DKCOP  2  482.59  527244.9  0  10526"/>
        <s v="IEC CHA No. Job No. Job Date Port of Discharge Total Package Gross Weight (Kg) FOB(INR) Total Cess (INR) Drawback STR Total (DBK+STR) CIN NO. CIN DT. Reward Flag&#10;0500050139  AACFL6638BCH001  8194502  19 DEC 2017 12:12  JPTYO  440  4319  1115259.6  0  0  0"/>
        <s v="IEC CHA No. Job No. Job Date Port of Discharge Total Package Gross Weight (Kg) FOB(INR) Total Cess (INR) Drawback STR Total (DBK+STR) CIN NO. CIN DT. Reward Flag&#10;0504077171  AKOPK7974PCH001  8205883  20 DEC 2017 12:12  LKCMB  2100  105210  2150512  0  0  "/>
        <s v="IEC CHA No. Job No. Job Date Port of Discharge Total Package Gross Weight (Kg) FOB(INR) Total Cess (INR) Drawback STR Total (DBK+STR) CIN NO. CIN DT. Reward Flag&#10;0513013971  AFVPB8766JCH001  8207864  20 DEC 2017 12:12  AEJEA  34  522.2  142369.5  0  3275 "/>
        <s v="IEC CHA No. Job No. Job Date Port of Discharge Total Package Gross Weight (Kg) FOB(INR) Total Cess (INR) Drawback STR Total (DBK+STR) CIN NO. CIN DT. Reward Flag&#10;3393002155  AAACU5306LCH002  8208365  20 DEC 2017 12:12  USNYC  1  316.67  282063.6  0  1374 "/>
        <s v="IEC CHA No. Job No. Job Date Port of Discharge Total Package Gross Weight (Kg) FOB(INR) Total Cess (INR) Drawback STR Total (DBK+STR) CIN NO. CIN DT. Reward Flag&#10;0510006329  AEAPD9155RCH001  8210702  20 DEC 2017 12:12  LKCMB  15  631.4  99754.2  0  0  0  "/>
        <s v="IEC CHA No. Job No. Job Date Port of Discharge Total Package Gross Weight (Kg) FOB(INR) Total Cess (INR) Drawback STR Total (DBK+STR) CIN NO. CIN DT. Reward Flag&#10;0507018591  AAJCA1821BCH001  8220180  20 DEC 2017 12:12  CNSHA  115  1500  504504  0  7166  0"/>
        <s v="IEC CHA No. Job No. Job Date Port of Discharge Total Package Gross Weight (Kg) FOB(INR) Total Cess (INR) Drawback STR Total (DBK+STR) CIN NO. CIN DT. Reward Flag&#10;No Record found"/>
        <s v="IEC CHA No. Job No. Job Date Port of Discharge Total Package Gross Weight (Kg) FOB(INR) Total Cess (INR) Drawback STR Total (DBK+STR) CIN NO. CIN DT. Reward Flag&#10;0504077171  AKOPK7974PCH001  8235036  21 DEC 2017 12:12  LKCMB  2100  105210  2150512  0  0  "/>
        <s v="IEC CHA No. Job No. Job Date Port of Discharge Total Package Gross Weight (Kg) FOB(INR) Total Cess (INR) Drawback STR Total (DBK+STR) CIN NO. CIN DT. Reward Flag&#10;0595012647  AAACC6689ECH001  8244778  21 DEC 2017 12:12  PKKHI  2755  47663  7558071.89  0  1"/>
        <s v="IEC CHA No. Job No. Job Date Port of Discharge Total Package Gross Weight (Kg) FOB(INR) Total Cess (INR) Drawback STR Total (DBK+STR) CIN NO. CIN DT. Reward Flag&#10;0589036734  AEOPA9390KCH001  8257770  22 DEC 2017 12:12  DKCOP  2  510.43  533837.76  0  1067"/>
        <s v="IEC CHA No. Job No. Job Date Port of Discharge Total Package Gross Weight (Kg) FOB(INR) Total Cess (INR) Drawback STR Total (DBK+STR) CIN NO. CIN DT. Reward Flag&#10;0503010316  AHDPK8975CCH001  8269759  22 DEC 2017 12:12  AEJEA  14  6261  2955037.34  0  4432"/>
        <s v="IEC CHA No. Job No. Job Date Port of Discharge Total Package Gross Weight (Kg) FOB(INR) Total Cess (INR) Drawback STR Total (DBK+STR) CIN NO. CIN DT. Reward Flag&#10;0511006519  AAEFP2740ECH001  8293657  23 DEC 2017 12:12  ZAJNB  791  14631.06  3149801.42  0 "/>
        <s v="IEC CHA No. Job No. Job Date Port of Discharge Total Package Gross Weight (Kg) FOB(INR) Total Cess (INR) Drawback STR Total (DBK+STR) CIN NO. CIN DT. Reward Flag&#10;0504077171  AKOPK7974PCH001  8315926  26 DEC 2017 12:12  LKCMB  2100  105210  2133632  0  0  "/>
        <s v="IEC CHA No. Job No. Job Date Port of Discharge Total Package Gross Weight (Kg) FOB(INR) Total Cess (INR) Drawback STR Total (DBK+STR) CIN NO. CIN DT. Reward Flag&#10;0500068241  AADFT2787LCH001  8316108  26 DEC 2017 12:12  TWKEL  34  1135  2392120  0  35882  "/>
        <s v="IEC CHA No. Job No. Job Date Port of Discharge Total Package Gross Weight (Kg) FOB(INR) Total Cess (INR) Drawback STR Total (DBK+STR) CIN NO. CIN DT. Reward Flag&#10;0595012647  AAACC6689ECH001  8322216  26 DEC 2017 12:12  PKKHI  1185  16223  14360970  0  215"/>
        <s v="IEC CHA No. Job No. Job Date Port of Discharge Total Package Gross Weight (Kg) FOB(INR) Total Cess (INR) Drawback STR Total (DBK+STR) CIN NO. CIN DT. Reward Flag&#10;0589036734  AEOPA9390KCH001  8322916  26 DEC 2017 12:12  DKCOP  2  387.02  431681.28  0  8634"/>
        <s v="IEC CHA No. Job No. Job Date Port of Discharge Total Package Gross Weight (Kg) FOB(INR) Total Cess (INR) Drawback STR Total (DBK+STR) CIN NO. CIN DT. Reward Flag&#10;0513039759  AKMPA9089KCH001  8330316  26 DEC 2017 12:12  IRBND  349  7500  1312284.8  0  1968"/>
        <s v="IEC CHA No. Job No. Job Date Port of Discharge Total Package Gross Weight (Kg) FOB(INR) Total Cess (INR) Drawback STR Total (DBK+STR) CIN NO. CIN DT. Reward Flag&#10;0503019321  AXAPK5104ECH001  8332795  26 DEC 2017 12:12  LKCMB  74  8894.8  1963168.33  0  35"/>
        <s v="IEC CHA No. Job No. Job Date Port of Discharge Total Package Gross Weight (Kg) FOB(INR) Total Cess (INR) Drawback STR Total (DBK+STR) CIN NO. CIN DT. Reward Flag&#10;0504077171  AKOPK7974PCH001  8352771  27 DEC 2017 12:12  LKCMB  2100  105210  2133632  0  0  "/>
        <s v="IEC CHA No. Job No. Job Date Port of Discharge Total Package Gross Weight (Kg) FOB(INR) Total Cess (INR) Drawback STR Total (DBK+STR) CIN NO. CIN DT. Reward Flag&#10;0509025765  AFFPC6074GCH001  8353709  27 DEC 2017 12:12  MUPLU  58  1500  725799  0  0  0  0 "/>
        <s v="IEC CHA No. Job No. Job Date Port of Discharge Total Package Gross Weight (Kg) FOB(INR) Total Cess (INR) Drawback STR Total (DBK+STR) CIN NO. CIN DT. Reward Flag&#10;1210001128  AACCA3147PCH001  8355698  27 DEC 2017 12:12  VNHPH  12  412.3  237283.4  0  6407 "/>
        <s v="IEC CHA No. Job No. Job Date Port of Discharge Total Package Gross Weight (Kg) FOB(INR) Total Cess (INR) Drawback STR Total (DBK+STR) CIN NO. CIN DT. Reward Flag&#10;0595012647  AAACC6689ECH001  8362130  27 DEC 2017 12:12  PKKHI  1457  24031  4832083.66  0  7"/>
        <s v="IEC CHA No. Job No. Job Date Port of Discharge Total Package Gross Weight (Kg) FOB(INR) Total Cess (INR) Drawback STR Total (DBK+STR) CIN NO. CIN DT. Reward Flag&#10;0595012647  AAACC6689ECH001  8362200  27 DEC 2017 12:12  PKKHI  2652  48008  11120240.98  0  "/>
        <s v="IEC CHA No. Job No. Job Date Port of Discharge Total Package Gross Weight (Kg) FOB(INR) Total Cess (INR) Drawback STR Total (DBK+STR) CIN NO. CIN DT. Reward Flag&#10;0504077171  AKOPK7974PCH001  8384285  28 DEC 2017 12:12  LKCMB  2100  105210  2133632  0  0  "/>
        <s v="IEC CHA No. Job No. Job Date Port of Discharge Total Package Gross Weight (Kg) FOB(INR) Total Cess (INR) Drawback STR Total (DBK+STR) CIN NO. CIN DT. Reward Flag&#10;0500050139  AACFL6638BCH001  8398812  28 DEC 2017 12:12  BJCOO  612  21217  6059616  0  0  0 "/>
        <s v="IEC CHA No. Job No. Job Date Port of Discharge Total Package Gross Weight (Kg) FOB(INR) Total Cess (INR) Drawback STR Total (DBK+STR) CIN NO. CIN DT. Reward Flag&#10;0504077171  AKOPK7974PCH001  8412479  29 DEC 2017 12:12  LKCMB  2100  105210  2664512  0  0  "/>
        <s v="IEC CHA No. Job No. Job Date Port of Discharge Total Package Gross Weight (Kg) FOB(INR) Total Cess (INR) Drawback STR Total (DBK+STR) CIN NO. CIN DT. Reward Flag&#10;0589036734  AEOPA9390KCH001  8413784  29 DEC 2017 12:12  DKCOP  2  507.76  467680  0  9354  0"/>
        <s v="IEC CHA No. Job No. Job Date Port of Discharge Total Package Gross Weight (Kg) FOB(INR) Total Cess (INR) Drawback STR Total (DBK+STR) CIN NO. CIN DT. Reward Flag&#10;0588128180  ADFFS3281FCH001  8448407  30 DEC 2017 12:12  NZAKL  22  490  93220  0  0  0  0  N"/>
        <s v="IEC CHA No. Job No. Job Date Port of Discharge Total Package Gross Weight (Kg) FOB(INR) Total Cess (INR) Drawback STR Total (DBK+STR) CIN NO. CIN DT. Reward Flag&#10;AGEPB3375R  AHDPK8975CCH001  8449353  30 DEC 2017 12:12  AEJEA  3  481  85446.4  0  1709  0  "/>
        <s v="IEC CHA No. Job No. Job Date Port of Discharge Total Package Gross Weight (Kg) FOB(INR) Total Cess (INR) Drawback STR Total (DBK+STR) CIN NO. CIN DT. Reward Flag&#10;0595012647  AAACC6689ECH001  8453171  30 DEC 2017 12:12  PKKHI  1369  20982  5534737.47  0  8"/>
        <s v="IEC CHA No. Job No. Job Date Port of Discharge Total Package Gross Weight (Kg) FOB(INR) Total Cess (INR) Drawback STR Total (DBK+STR) CIN NO. CIN DT. Reward Flag&#10;0595012647  AAACC6689ECH001  8454665  30 DEC 2017 12:12  PKKHI  950  11875  4250832  0  63762"/>
      </sharedItems>
    </cacheField>
    <cacheField name="Current status" numFmtId="0">
      <sharedItems>
        <s v="Current Que LEO Date EP Copy Print Status DBK Scroll No Scroll Date EGM Integration Status&#10;HIST  12 JUL 2017 00:07  Y  21243/2017  28 AUG 2017 00:08  Y "/>
        <s v="Current Que LEO Date EP Copy Print Status DBK Scroll No Scroll Date EGM Integration Status&#10;HIST  04 JUL 2017 00:07  Y  21243/2017  28 AUG 2017 00:08  Y "/>
        <s v="Current Que LEO Date EP Copy Print Status DBK Scroll No Scroll Date EGM Integration Status&#10;HIST  07 JUL 2017 00:07  Y  21243/2017  28 AUG 2017 00:08  Y "/>
        <s v="Current Que LEO Date EP Copy Print Status DBK Scroll No Scroll Date EGM Integration Status&#10;HIST  27 JUL 2017 00:07  R  N.A.  N.A.  Y "/>
        <s v="Current Que LEO Date EP Copy Print Status DBK Scroll No Scroll Date EGM Integration Status&#10;HIST  28 JUL 2017 00:07  Y  21484/2017  07 SEP 2017 00:09  Y "/>
        <s v="Current Que LEO Date EP Copy Print Status DBK Scroll No Scroll Date EGM Integration Status&#10;HIST  28 JUL 2017 00:07  Y  22528/2017  10 NOV 2017 00:11  Y "/>
        <s v="Current Que LEO Date EP Copy Print Status DBK Scroll No Scroll Date EGM Integration Status&#10;HIST  31 JUL 2017 00:07  Y  N.A.  N.A.  Y "/>
        <s v="Current Que LEO Date EP Copy Print Status DBK Scroll No Scroll Date EGM Integration Status&#10;HIST  29 JUL 2017 00:07  Y  21484/2017  07 SEP 2017 00:09  Y "/>
        <s v="Current Que LEO Date EP Copy Print Status DBK Scroll No Scroll Date EGM Integration Status&#10;HIST  31 JUL 2017 00:07  Y  22032/2017  06 OCT 2017 00:10  Y "/>
        <s v="Current Que LEO Date EP Copy Print Status DBK Scroll No Scroll Date EGM Integration Status&#10;HIST  31 JUL 2017 00:07  Y  21484/2017  07 SEP 2017 00:09  Y "/>
        <s v="Current Que LEO Date EP Copy Print Status DBK Scroll No Scroll Date EGM Integration Status&#10;HIST  02 AUG 2017 00:08  Y  21484/2017  07 SEP 2017 00:09  Y "/>
        <s v="Current Que LEO Date EP Copy Print Status DBK Scroll No Scroll Date EGM Integration Status&#10;HIST  01 AUG 2017 00:08  Y  29620/2018  13 SEP 2018 00:09  Y "/>
        <s v="Current Que LEO Date EP Copy Print Status DBK Scroll No Scroll Date EGM Integration Status&#10;HIST  04 AUG 2017 00:08  Y  21593/2017  12 SEP 2017 00:09  Y "/>
        <s v="Current Que LEO Date EP Copy Print Status DBK Scroll No Scroll Date EGM Integration Status&#10;HIST  03 AUG 2017 00:08  Y  21593/2017  12 SEP 2017 00:09  Y "/>
        <s v="Current Que LEO Date EP Copy Print Status DBK Scroll No Scroll Date EGM Integration Status&#10;HIST  02 AUG 2017 00:08  Y  21593/2017  12 SEP 2017 00:09  Y "/>
        <s v="Current Que LEO Date EP Copy Print Status DBK Scroll No Scroll Date EGM Integration Status&#10;HIST  04 AUG 2017 00:08  Y  21484/2017  07 SEP 2017 00:09  Y "/>
        <s v="Current Que LEO Date EP Copy Print Status DBK Scroll No Scroll Date EGM Integration Status&#10;HIST  03 AUG 2017 00:08  Y  21652/2017  14 SEP 2017 00:09  Y "/>
        <s v="Current Que LEO Date EP Copy Print Status DBK Scroll No Scroll Date EGM Integration Status&#10;HIST  10 AUG 2017 00:08  Y  21593/2017  12 SEP 2017 00:09  Y "/>
        <s v="Current Que LEO Date EP Copy Print Status DBK Scroll No Scroll Date EGM Integration Status&#10;HIST  03 AUG 2017 00:08  Y  21484/2017  07 SEP 2017 00:09  Y "/>
        <s v="Current Que LEO Date EP Copy Print Status DBK Scroll No Scroll Date EGM Integration Status&#10;HIST  11 AUG 2017 00:08  Y  21593/2017  12 SEP 2017 00:09  Y "/>
        <s v="Current Que LEO Date EP Copy Print Status DBK Scroll No Scroll Date EGM Integration Status&#10;HIST  10 AUG 2017 00:08  Y  N.A.  N.A.  Y "/>
        <s v="Current Que LEO Date EP Copy Print Status DBK Scroll No Scroll Date EGM Integration Status&#10;HIST  05 AUG 2017 00:08  Y  21593/2017  12 SEP 2017 00:09  Y "/>
        <s v="Current Que LEO Date EP Copy Print Status DBK Scroll No Scroll Date EGM Integration Status&#10;HIST  08 AUG 2017 00:08  Y  21652/2017  14 SEP 2017 00:09  Y "/>
        <s v="Current Que LEO Date EP Copy Print Status DBK Scroll No Scroll Date EGM Integration Status&#10;HIST  05 AUG 2017 00:08  Y  21484/2017  07 SEP 2017 00:09  Y "/>
        <s v="Current Que LEO Date EP Copy Print Status DBK Scroll No Scroll Date EGM Integration Status&#10;HIST  08 AUG 2017 00:08  Y  21593/2017  12 SEP 2017 00:09  Y "/>
        <s v="Current Que LEO Date EP Copy Print Status DBK Scroll No Scroll Date EGM Integration Status&#10;HIST  05 AUG 2017 00:08  Y  N.A.  N.A.  Y "/>
        <s v="Current Que LEO Date EP Copy Print Status DBK Scroll No Scroll Date EGM Integration Status&#10;HIST  18 AUG 2017 00:08  Y  21593/2017  12 SEP 2017 00:09  Y "/>
        <s v="Current Que LEO Date EP Copy Print Status DBK Scroll No Scroll Date EGM Integration Status&#10;HIST  07 AUG 2017 00:08  Y  21593/2017  12 SEP 2017 00:09  Y "/>
        <s v="Current Que LEO Date EP Copy Print Status DBK Scroll No Scroll Date EGM Integration Status&#10;HIST  09 AUG 2017 00:08  Y  21652/2017  14 SEP 2017 00:09  Y &#10;Current Que LEO Date EP Copy Print Status DBK Scroll No Scroll Date EGM Integration Status&#10;HIST  09 AU"/>
        <s v="Current Que LEO Date EP Copy Print Status DBK Scroll No Scroll Date EGM Integration Status&#10;HIST  11 AUG 2017 00:08  Y  21652/2017  14 SEP 2017 00:09  Y "/>
        <s v="Current Que LEO Date EP Copy Print Status DBK Scroll No Scroll Date EGM Integration Status&#10;HIST  10 AUG 2017 00:08  Y  21652/2017  14 SEP 2017 00:09  Y "/>
        <s v="Current Que LEO Date EP Copy Print Status DBK Scroll No Scroll Date EGM Integration Status&#10;HIST  14 AUG 2017 00:08  Y  21652/2017  14 SEP 2017 00:09  Y "/>
        <s v="Warehouse Code Warehouse Name Current Que Current Status Appraising Date A.C(APR) A.C(APR) Date Exam Mark ID Mark Date&#10;N.A.  EXPORT W/H  EXAM_SUP  LEO CANCELLED  N.A.  N.A.  N.A.  10018908  17 AUG 2017 12:08 &#10;  Insp/E.O EXAM DATE Supdt/A.O.Id DBK A.C ID D"/>
        <s v="Current Que LEO Date EP Copy Print Status DBK Scroll No Scroll Date EGM Integration Status&#10;HIST  16 AUG 2017 00:08  Y  21593/2017  12 SEP 2017 00:09  Y "/>
        <s v="Current Que LEO Date EP Copy Print Status DBK Scroll No Scroll Date EGM Integration Status&#10;HIST  21 AUG 2017 00:08  Y  24432/2018  25 MAR 2018 00:03  Y "/>
        <s v="Current Que LEO Date EP Copy Print Status DBK Scroll No Scroll Date EGM Integration Status&#10;HIST  14 AUG 2017 00:08  Y  N.A.  N.A.  Y "/>
        <s v="Current Que LEO Date EP Copy Print Status DBK Scroll No Scroll Date EGM Integration Status&#10;HIST  16 AUG 2017 00:08  Y  21843/2017  21 SEP 2017 00:09  Y "/>
        <s v="Current Que LEO Date EP Copy Print Status DBK Scroll No Scroll Date EGM Integration Status&#10;HIST  24 AUG 2017 00:08  Y  21652/2017  14 SEP 2017 00:09  Y "/>
        <s v="Current Que LEO Date EP Copy Print Status DBK Scroll No Scroll Date EGM Integration Status&#10;HIST  16 AUG 2017 00:08  Y  N.A.  N.A.  Y "/>
        <s v="Current Que LEO Date EP Copy Print Status DBK Scroll No Scroll Date EGM Integration Status&#10;HIST  17 AUG 2017 00:08  Y  21843/2017  21 SEP 2017 00:09  Y "/>
        <s v="Current Que LEO Date EP Copy Print Status DBK Scroll No Scroll Date EGM Integration Status&#10;HIST  18 AUG 2017 00:08  Y  21652/2017  14 SEP 2017 00:09  Y "/>
        <s v="Current Que LEO Date EP Copy Print Status DBK Scroll No Scroll Date EGM Integration Status&#10;HIST  17 AUG 2017 00:08  Y  21652/2017  14 SEP 2017 00:09  Y "/>
        <s v="Current Que LEO Date EP Copy Print Status DBK Scroll No Scroll Date EGM Integration Status&#10;HIST  19 AUG 2017 00:08  Y  21843/2017  21 SEP 2017 00:09  Y "/>
        <s v="Current Que LEO Date EP Copy Print Status DBK Scroll No Scroll Date EGM Integration Status&#10;HIST  23 AUG 2017 00:08  Y  21652/2017  14 SEP 2017 00:09  Y "/>
        <s v="Current Que LEO Date EP Copy Print Status DBK Scroll No Scroll Date EGM Integration Status&#10;HIST  21 AUG 2017 00:08  Y  21652/2017  14 SEP 2017 00:09  Y "/>
        <s v="Current Que LEO Date EP Copy Print Status DBK Scroll No Scroll Date EGM Integration Status&#10;HIST  24 AUG 2017 00:08  Y  21843/2017  21 SEP 2017 00:09  Y "/>
        <s v="Current Que LEO Date EP Copy Print Status DBK Scroll No Scroll Date EGM Integration Status&#10;HIST  19 AUG 2017 00:08  R  N.A.  N.A.  Y "/>
        <s v="Current Que LEO Date EP Copy Print Status DBK Scroll No Scroll Date EGM Integration Status&#10;HIST  25 AUG 2017 00:08  Y  21843/2017  21 SEP 2017 00:09  Y "/>
        <s v="Current Que LEO Date EP Copy Print Status DBK Scroll No Scroll Date EGM Integration Status&#10;HIST  23 AUG 2017 00:08  Y  N.A.  N.A.  Y "/>
        <s v="Current Que LEO Date EP Copy Print Status DBK Scroll No Scroll Date EGM Integration Status&#10;HIST  26 AUG 2017 00:08  Y  21652/2017  14 SEP 2017 00:09  Y "/>
        <s v="Current Que LEO Date EP Copy Print Status DBK Scroll No Scroll Date EGM Integration Status&#10;HIST  24 AUG 2017 00:08  Y  23643/2018  31 JAN 2018 00:01  Y "/>
        <s v="Current Que LEO Date EP Copy Print Status DBK Scroll No Scroll Date EGM Integration Status&#10;HIST  24 AUG 2017 00:08  Y  N.A.  N.A.  Y "/>
        <s v="Current Que LEO Date EP Copy Print Status DBK Scroll No Scroll Date EGM Integration Status&#10;HIST  25 AUG 2017 00:08  Y  21652/2017  14 SEP 2017 00:09  Y "/>
        <s v="Current Que LEO Date EP Copy Print Status DBK Scroll No Scroll Date EGM Integration Status&#10;HIST  01 SEP 2017 00:09  Y  21843/2017  21 SEP 2017 00:09  Y "/>
        <s v="Current Que LEO Date EP Copy Print Status DBK Scroll No Scroll Date EGM Integration Status&#10;HIST  25 AUG 2017 00:08  Y  N.A.  N.A.  Y "/>
        <s v="Current Que LEO Date EP Copy Print Status DBK Scroll No Scroll Date EGM Integration Status&#10;HIST  04 SEP 2017 00:09  Y  21843/2017  21 SEP 2017 00:09  Y "/>
        <s v="Current Que LEO Date EP Copy Print Status DBK Scroll No Scroll Date EGM Integration Status&#10;HIST  26 AUG 2017 00:08  Y  21843/2017  21 SEP 2017 00:09  Y "/>
        <s v="Current Que LEO Date EP Copy Print Status DBK Scroll No Scroll Date EGM Integration Status&#10;HIST  29 AUG 2017 00:08  Y  N.A.  N.A.  Y "/>
        <s v="Current Que LEO Date EP Copy Print Status DBK Scroll No Scroll Date EGM Integration Status&#10;HIST  28 AUG 2017 00:08  Y  21652/2017  14 SEP 2017 00:09  Y "/>
        <s v="Current Que LEO Date EP Copy Print Status DBK Scroll No Scroll Date EGM Integration Status&#10;HIST  26 AUG 2017 00:08  Y  N.A.  N.A.  Y "/>
        <s v="Current Que LEO Date EP Copy Print Status DBK Scroll No Scroll Date EGM Integration Status&#10;HIST  26 AUG 2017 00:08  Y  24432/2018  25 MAR 2018 00:03  Y "/>
        <s v="Current Que LEO Date EP Copy Print Status DBK Scroll No Scroll Date EGM Integration Status&#10;HIST  29 AUG 2017 00:08  Y  21843/2017  21 SEP 2017 00:09  Y "/>
        <s v="Current Que LEO Date EP Copy Print Status DBK Scroll No Scroll Date EGM Integration Status&#10;HIST  30 AUG 2017 00:08  Y  21843/2017  21 SEP 2017 00:09  Y "/>
        <s v="Current Que LEO Date EP Copy Print Status DBK Scroll No Scroll Date EGM Integration Status&#10;HIST  01 SEP 2017 00:09  Y  N.A.  N.A.  Y "/>
        <s v="Current Que LEO Date EP Copy Print Status DBK Scroll No Scroll Date EGM Integration Status&#10;HIST  01 SEP 2017 00:09  Y  24432/2018  25 MAR 2018 00:03  Y "/>
        <s v="Current Que LEO Date EP Copy Print Status DBK Scroll No Scroll Date EGM Integration Status&#10;HIST  05 SEP 2017 00:09  Y  N.A.  N.A.  Y "/>
        <s v="Current Que LEO Date EP Copy Print Status DBK Scroll No Scroll Date EGM Integration Status&#10;HIST  05 SEP 2017 00:09  Y  21843/2017  21 SEP 2017 00:09  Y "/>
        <s v="Current Que LEO Date EP Copy Print Status DBK Scroll No Scroll Date EGM Integration Status&#10;HIST  06 SEP 2017 00:09  Y  21843/2017  21 SEP 2017 00:09  Y "/>
        <s v="Current Que LEO Date EP Copy Print Status DBK Scroll No Scroll Date EGM Integration Status&#10;HIST  08 SEP 2017 00:09  Y  21843/2017  21 SEP 2017 00:09  Y "/>
        <s v="Current Que LEO Date EP Copy Print Status DBK Scroll No Scroll Date EGM Integration Status&#10;HIST  07 SEP 2017 00:09  Y  21843/2017  21 SEP 2017 00:09  Y "/>
        <s v="Current Que LEO Date EP Copy Print Status DBK Scroll No Scroll Date EGM Integration Status&#10;HIST  15 SEP 2017 00:09  Y  N.A.  N.A.  Y "/>
        <s v="Current Que LEO Date EP Copy Print Status DBK Scroll No Scroll Date EGM Integration Status&#10;HIST  14 SEP 2017 00:09  Y  21907/2017  26 SEP 2017 00:09  Y "/>
        <s v="Current Que LEO Date EP Copy Print Status DBK Scroll No Scroll Date EGM Integration Status&#10;HIST  12 SEP 2017 00:09  Y  22032/2017  06 OCT 2017 00:10  Y "/>
        <s v="Current Que LEO Date EP Copy Print Status DBK Scroll No Scroll Date EGM Integration Status&#10;HIST  06 SEP 2017 00:09  Y  N.A.  N.A.  Y "/>
        <s v="Current Que LEO Date EP Copy Print Status DBK Scroll No Scroll Date EGM Integration Status&#10;HIST  11 SEP 2017 00:09  Y  N.A.  N.A.  Y "/>
        <s v="Current Que LEO Date EP Copy Print Status DBK Scroll No Scroll Date EGM Integration Status&#10;HIST  08 SEP 2017 00:09  Y  24432/2018  25 MAR 2018 00:03  Y "/>
        <s v="Current Que LEO Date EP Copy Print Status DBK Scroll No Scroll Date EGM Integration Status&#10;HIST  12 SEP 2017 00:09  Y  21843/2017  21 SEP 2017 00:09  Y "/>
        <s v="Current Que LEO Date EP Copy Print Status DBK Scroll No Scroll Date EGM Integration Status&#10;HIST  13 SEP 2017 00:09  Y  22032/2017  06 OCT 2017 00:10  Y "/>
        <s v="Current Que LEO Date EP Copy Print Status DBK Scroll No Scroll Date EGM Integration Status&#10;HIST  14 SEP 2017 00:09  Y  N.A.  N.A.  Y "/>
        <s v="Current Que LEO Date EP Copy Print Status DBK Scroll No Scroll Date EGM Integration Status&#10;HIST  13 SEP 2017 00:09  Y  N.A.  N.A.  Y "/>
        <s v="Current Que LEO Date EP Copy Print Status DBK Scroll No Scroll Date EGM Integration Status&#10;HIST  13 SEP 2017 00:09  Y  21843/2017  21 SEP 2017 00:09  Y "/>
        <s v="Current Que LEO Date EP Copy Print Status DBK Scroll No Scroll Date EGM Integration Status&#10;HIST  14 SEP 2017 00:09  Y  21843/2017  21 SEP 2017 00:09  Y "/>
        <s v="Current Que LEO Date EP Copy Print Status DBK Scroll No Scroll Date EGM Integration Status&#10;HIST  15 SEP 2017 00:09  Y  22032/2017  06 OCT 2017 00:10  Y "/>
        <s v="Warehouse Code Warehouse Name Current Que Current Status Appraising Date A.C(APR) A.C(APR) Date Exam Mark ID Mark Date&#10;N.A.  EXPORT W/H  DBK_SUP  To Be Processed For DBK  N.A.  N.A.  N.A.  10026238  13 SEP 2017 14:09 &#10;  Insp/E.O EXAM DATE Supdt/A.O.Id DBK"/>
        <s v="Current Que LEO Date EP Copy Print Status DBK Scroll No Scroll Date EGM Integration Status&#10;HIST  14 SEP 2017 00:09  Y  22032/2017  06 OCT 2017 00:10  Y "/>
        <s v="Current Que LEO Date EP Copy Print Status DBK Scroll No Scroll Date EGM Integration Status&#10;HIST  21 SEP 2017 00:09  Y  22374/2017  31 OCT 2017 00:10  Y "/>
        <s v="Current Que LEO Date EP Copy Print Status DBK Scroll No Scroll Date EGM Integration Status&#10;HIST  14 SEP 2017 00:09  Y  24432/2018  25 MAR 2018 00:03  Y "/>
        <s v="Current Que LEO Date EP Copy Print Status DBK Scroll No Scroll Date EGM Integration Status&#10;HIST  18 SEP 2017 00:09  Y  22032/2017  06 OCT 2017 00:10  Y "/>
        <s v="Current Que LEO Date EP Copy Print Status DBK Scroll No Scroll Date EGM Integration Status&#10;HIST  16 SEP 2017 00:09  Y  22032/2017  06 OCT 2017 00:10  Y "/>
        <s v="Current Que LEO Date EP Copy Print Status DBK Scroll No Scroll Date EGM Integration Status&#10;HIST  18 SEP 2017 00:09  Y  22137/2017  13 OCT 2017 00:10  Y "/>
        <s v="Current Que LEO Date EP Copy Print Status DBK Scroll No Scroll Date EGM Integration Status&#10;HIST  16 SEP 2017 00:09  Y  N.A.  N.A.  Y "/>
        <s v="Current Que LEO Date EP Copy Print Status DBK Scroll No Scroll Date EGM Integration Status&#10;HIST  20 SEP 2017 00:09  Y  22137/2017  13 OCT 2017 00:10  Y "/>
        <s v="Current Que LEO Date EP Copy Print Status DBK Scroll No Scroll Date EGM Integration Status&#10;HIST  03 OCT 2017 00:10  Y  N.A.  N.A.  Y "/>
        <s v="Current Que LEO Date EP Copy Print Status DBK Scroll No Scroll Date EGM Integration Status&#10;HIST  19 SEP 2017 00:09  Y  N.A.  N.A.  Y "/>
        <s v="Current Que LEO Date EP Copy Print Status DBK Scroll No Scroll Date EGM Integration Status&#10;HIST  21 SEP 2017 00:09  Y  22137/2017  13 OCT 2017 00:10  Y "/>
        <s v="Current Que LEO Date EP Copy Print Status DBK Scroll No Scroll Date EGM Integration Status&#10;HIST  23 SEP 2017 00:09  Y  22137/2017  13 OCT 2017 00:10  Y "/>
        <s v="Current Que LEO Date EP Copy Print Status DBK Scroll No Scroll Date EGM Integration Status&#10;HIST  21 SEP 2017 00:09  Y  22032/2017  06 OCT 2017 00:10  Y "/>
        <s v="Current Que LEO Date EP Copy Print Status DBK Scroll No Scroll Date EGM Integration Status&#10;HIST  22 SEP 2017 00:09  Y  22137/2017  13 OCT 2017 00:10  Y "/>
        <s v="Current Que LEO Date EP Copy Print Status DBK Scroll No Scroll Date EGM Integration Status&#10;HIST  23 SEP 2017 00:09  Y  22260/2017  24 OCT 2017 00:10  Y "/>
        <s v="Current Que LEO Date EP Copy Print Status DBK Scroll No Scroll Date EGM Integration Status&#10;HIST  25 SEP 2017 00:09  Y  N.A.  N.A.  Y "/>
        <s v="Current Que LEO Date EP Copy Print Status DBK Scroll No Scroll Date EGM Integration Status&#10;HIST  23 SEP 2017 00:09  Y  22528/2017  10 NOV 2017 00:11  Y "/>
        <s v="Current Que LEO Date EP Copy Print Status DBK Scroll No Scroll Date EGM Integration Status&#10;HIST  25 SEP 2017 00:09  Y  22260/2017  24 OCT 2017 00:10  Y "/>
        <s v="Current Que LEO Date EP Copy Print Status DBK Scroll No Scroll Date EGM Integration Status&#10;HIST  22 SEP 2017 00:09  Y  22374/2017  31 OCT 2017 00:10  Y "/>
        <s v="Current Que LEO Date EP Copy Print Status DBK Scroll No Scroll Date EGM Integration Status&#10;HIST  26 SEP 2017 00:09  Y  N.A.  N.A.  Y "/>
        <s v="Current Que LEO Date EP Copy Print Status DBK Scroll No Scroll Date EGM Integration Status&#10;HIST  11 OCT 2017 00:10  Y  22374/2017  31 OCT 2017 00:10  Y "/>
        <s v="Current Que LEO Date EP Copy Print Status DBK Scroll No Scroll Date EGM Integration Status&#10;HIST  27 SEP 2017 00:09  Y  22260/2017  24 OCT 2017 00:10  Y "/>
        <s v="Current Que LEO Date EP Copy Print Status DBK Scroll No Scroll Date EGM Integration Status&#10;HIST  28 SEP 2017 00:09  Y  22137/2017  13 OCT 2017 00:10  Y "/>
        <s v="Current Que LEO Date EP Copy Print Status DBK Scroll No Scroll Date EGM Integration Status&#10;HIST  28 SEP 2017 00:09  Y  22260/2017  24 OCT 2017 00:10  Y "/>
        <s v="Current Que LEO Date EP Copy Print Status DBK Scroll No Scroll Date EGM Integration Status&#10;HIST  29 SEP 2017 00:09  Y  22374/2017  31 OCT 2017 00:10  Y "/>
        <s v="Current Que LEO Date EP Copy Print Status DBK Scroll No Scroll Date EGM Integration Status&#10;HIST  29 SEP 2017 00:09  Y  22528/2017  10 NOV 2017 00:11  Y "/>
        <s v="Current Que LEO Date EP Copy Print Status DBK Scroll No Scroll Date EGM Integration Status&#10;HIST  04 OCT 2017 00:10  Y  N.A.  N.A.  Y "/>
        <s v="Current Que LEO Date EP Copy Print Status DBK Scroll No Scroll Date EGM Integration Status&#10;HIST  04 OCT 2017 00:10  Y  22260/2017  24 OCT 2017 00:10  Y "/>
        <s v="Current Que LEO Date EP Copy Print Status DBK Scroll No Scroll Date EGM Integration Status&#10;HIST  29 SEP 2017 00:09  Y  22260/2017  24 OCT 2017 00:10  Y "/>
        <s v="Current Que LEO Date EP Copy Print Status DBK Scroll No Scroll Date EGM Integration Status&#10;HIST  06 OCT 2017 00:10  Y  22374/2017  31 OCT 2017 00:10  Y "/>
        <s v="Current Que LEO Date EP Copy Print Status DBK Scroll No Scroll Date EGM Integration Status&#10;HIST  06 OCT 2017 00:10  Y  22260/2017  24 OCT 2017 00:10  Y "/>
        <s v="Current Que LEO Date EP Copy Print Status DBK Scroll No Scroll Date EGM Integration Status&#10;HIST  06 OCT 2017 00:10  Y  24432/2018  25 MAR 2018 00:03  Y "/>
        <s v="Current Que LEO Date EP Copy Print Status DBK Scroll No Scroll Date EGM Integration Status&#10;HIST  09 OCT 2017 00:10  Y  22374/2017  31 OCT 2017 00:10  Y "/>
        <s v="Current Que LEO Date EP Copy Print Status DBK Scroll No Scroll Date EGM Integration Status&#10;HIST  04 OCT 2017 00:10  Y  22374/2017  31 OCT 2017 00:10  Y "/>
        <s v="Current Que LEO Date EP Copy Print Status DBK Scroll No Scroll Date EGM Integration Status&#10;HIST  10 OCT 2017 00:10  Y  22374/2017  31 OCT 2017 00:10  Y "/>
        <s v="Current Que LEO Date EP Copy Print Status DBK Scroll No Scroll Date EGM Integration Status&#10;HIST  05 OCT 2017 00:10  Y  22260/2017  24 OCT 2017 00:10  Y "/>
        <s v="Current Que LEO Date EP Copy Print Status DBK Scroll No Scroll Date EGM Integration Status&#10;HIST  05 OCT 2017 00:10  Y  N.A.  N.A.  Y "/>
        <s v="Current Que LEO Date EP Copy Print Status DBK Scroll No Scroll Date EGM Integration Status&#10;HIST  07 OCT 2017 00:10  Y  22374/2017  31 OCT 2017 00:10  Y "/>
        <s v="Current Que LEO Date EP Copy Print Status DBK Scroll No Scroll Date EGM Integration Status&#10;HIST  09 OCT 2017 00:10  Y  N.A.  N.A.  Y "/>
        <s v="Current Que LEO Date EP Copy Print Status DBK Scroll No Scroll Date EGM Integration Status&#10;HIST  07 OCT 2017 00:10  Y  N.A.  N.A.  Y "/>
        <s v="Current Que LEO Date EP Copy Print Status DBK Scroll No Scroll Date EGM Integration Status&#10;HIST  12 OCT 2017 00:10  Y  N.A.  N.A.  Y "/>
        <s v="Current Que LEO Date EP Copy Print Status DBK Scroll No Scroll Date EGM Integration Status&#10;HIST  10 OCT 2017 00:10  Y  N.A.  N.A.  Y "/>
        <s v="Current Que LEO Date EP Copy Print Status DBK Scroll No Scroll Date EGM Integration Status&#10;HIST  16 OCT 2017 00:10  Y  N.A.  N.A.  Y "/>
        <s v="Current Que LEO Date EP Copy Print Status DBK Scroll No Scroll Date EGM Integration Status&#10;HIST  12 OCT 2017 00:10  Y  22374/2017  31 OCT 2017 00:10  Y "/>
        <s v="Current Que LEO Date EP Copy Print Status DBK Scroll No Scroll Date EGM Integration Status&#10;HIST  13 OCT 2017 00:10  Y  22374/2017  31 OCT 2017 00:10  Y "/>
        <s v="Current Que LEO Date EP Copy Print Status DBK Scroll No Scroll Date EGM Integration Status&#10;HIST  13 OCT 2017 00:10  Y  22528/2017  10 NOV 2017 00:11  Y "/>
        <s v="Current Que LEO Date EP Copy Print Status DBK Scroll No Scroll Date EGM Integration Status&#10;HIST  16 OCT 2017 00:10  Y  22374/2017  31 OCT 2017 00:10  Y "/>
        <s v="Current Que LEO Date EP Copy Print Status DBK Scroll No Scroll Date EGM Integration Status&#10;HIST  17 OCT 2017 00:10  Y  22374/2017  31 OCT 2017 00:10  Y "/>
        <s v="Current Que LEO Date EP Copy Print Status DBK Scroll No Scroll Date EGM Integration Status&#10;HIST  17 OCT 2017 00:10  Y  N.A.  N.A.  Y "/>
        <s v="Current Que LEO Date EP Copy Print Status DBK Scroll No Scroll Date EGM Integration Status&#10;HIST  30 OCT 2017 00:10  Y  22528/2017  10 NOV 2017 00:11  Y "/>
        <s v="Current Que LEO Date EP Copy Print Status DBK Scroll No Scroll Date EGM Integration Status&#10;HIST  18 OCT 2017 00:10  Y  N.A.  N.A.  Y "/>
        <s v="Current Que LEO Date EP Copy Print Status DBK Scroll No Scroll Date EGM Integration Status&#10;HIST  24 OCT 2017 00:10  Y  N.A.  N.A.  Y "/>
        <s v="Current Que LEO Date EP Copy Print Status DBK Scroll No Scroll Date EGM Integration Status&#10;HIST  20 OCT 2017 00:10  Y  N.A.  N.A.  Y "/>
        <s v="Current Que LEO Date EP Copy Print Status DBK Scroll No Scroll Date EGM Integration Status&#10;HIST  23 OCT 2017 00:10  Y  24432/2018  25 MAR 2018 00:03  Y "/>
        <s v="Current Que LEO Date EP Copy Print Status DBK Scroll No Scroll Date EGM Integration Status&#10;HIST  26 OCT 2017 00:10  Y  22528/2017  10 NOV 2017 00:11  Y "/>
        <s v="Current Que LEO Date EP Copy Print Status DBK Scroll No Scroll Date EGM Integration Status&#10;HIST  28 OCT 2017 00:10  Y  22528/2017  10 NOV 2017 00:11  Y "/>
        <s v="Current Que LEO Date EP Copy Print Status DBK Scroll No Scroll Date EGM Integration Status&#10;HIST  27 OCT 2017 00:10  Y  22753/2017  24 NOV 2017 00:11  Y "/>
        <s v="Current Que LEO Date EP Copy Print Status DBK Scroll No Scroll Date EGM Integration Status&#10;HIST  01 NOV 2017 00:11  Y  N.A.  N.A.  Y "/>
        <s v="Current Que LEO Date EP Copy Print Status DBK Scroll No Scroll Date EGM Integration Status&#10;HIST  30 OCT 2017 00:10  Y  N.A.  N.A.  Y "/>
        <s v="Current Que LEO Date EP Copy Print Status DBK Scroll No Scroll Date EGM Integration Status&#10;HIST  01 NOV 2017 00:11  Y  22753/2017  24 NOV 2017 00:11  Y "/>
        <s v="Current Que LEO Date EP Copy Print Status DBK Scroll No Scroll Date EGM Integration Status&#10;HIST  02 NOV 2017 00:11  Y  N.A.  N.A.  Y "/>
        <s v="Current Que LEO Date EP Copy Print Status DBK Scroll No Scroll Date EGM Integration Status&#10;HIST  09 NOV 2017 00:11  Y  22753/2017  24 NOV 2017 00:11  Y "/>
        <s v="Current Que LEO Date EP Copy Print Status DBK Scroll No Scroll Date EGM Integration Status&#10;HIST  10 NOV 2017 00:11  Y  22753/2017  24 NOV 2017 00:11  Y "/>
        <s v="Current Que LEO Date EP Copy Print Status DBK Scroll No Scroll Date EGM Integration Status&#10;HIST  13 NOV 2017 00:11  Y  22753/2017  24 NOV 2017 00:11  Y "/>
        <s v="Current Que LEO Date EP Copy Print Status DBK Scroll No Scroll Date EGM Integration Status&#10;HIST  08 NOV 2017 00:11  Y  22753/2017  24 NOV 2017 00:11  Y "/>
        <s v="Current Que LEO Date EP Copy Print Status DBK Scroll No Scroll Date EGM Integration Status&#10;HIST  07 NOV 2017 00:11  Y  22753/2017  24 NOV 2017 00:11  Y "/>
        <s v="Current Que LEO Date EP Copy Print Status DBK Scroll No Scroll Date EGM Integration Status&#10;HIST  10 NOV 2017 00:11  Y  22850/2017  30 NOV 2017 00:11  Y "/>
        <s v="Current Que LEO Date EP Copy Print Status DBK Scroll No Scroll Date EGM Integration Status&#10;HIST  06 NOV 2017 00:11  Y  23643/2018  31 JAN 2018 00:01  Y "/>
        <s v="Current Que LEO Date EP Copy Print Status DBK Scroll No Scroll Date EGM Integration Status&#10;HIST  16 DEC 2017 00:12  Y  N.A.  N.A.  Y "/>
        <s v="Current Que LEO Date EP Copy Print Status DBK Scroll No Scroll Date EGM Integration Status&#10;HIST  14 NOV 2017 00:11  Y  24432/2018  25 MAR 2018 00:03  Y "/>
        <s v="Current Que LEO Date EP Copy Print Status DBK Scroll No Scroll Date EGM Integration Status&#10;HIST  13 NOV 2017 00:11  Y  24432/2018  25 MAR 2018 00:03  Y "/>
        <s v="Current Que LEO Date EP Copy Print Status DBK Scroll No Scroll Date EGM Integration Status&#10;HIST  15 NOV 2017 00:11  Y  22753/2017  24 NOV 2017 00:11  Y "/>
        <s v="Current Que LEO Date EP Copy Print Status DBK Scroll No Scroll Date EGM Integration Status&#10;HIST  17 NOV 2017 00:11  Y  22753/2017  24 NOV 2017 00:11  Y "/>
        <s v="Current Que LEO Date EP Copy Print Status DBK Scroll No Scroll Date EGM Integration Status&#10;HIST  18 NOV 2017 00:11  Y  22850/2017  30 NOV 2017 00:11  Y "/>
        <s v="Current Que LEO Date EP Copy Print Status DBK Scroll No Scroll Date EGM Integration Status&#10;HIST  25 NOV 2017 00:11  Y  23003/2017  12 DEC 2017 00:12  Y "/>
        <s v="Current Que LEO Date EP Copy Print Status DBK Scroll No Scroll Date EGM Integration Status&#10;HIST  28 NOV 2017 00:11  Y  23003/2017  12 DEC 2017 00:12  Y "/>
        <s v="Current Que LEO Date EP Copy Print Status DBK Scroll No Scroll Date EGM Integration Status&#10;HIST  22 NOV 2017 00:11  Y  N.A.  N.A.  Y "/>
        <s v="Current Que LEO Date EP Copy Print Status DBK Scroll No Scroll Date EGM Integration Status&#10;HIST  24 NOV 2017 00:11  Y  23003/2017  12 DEC 2017 00:12  Y "/>
        <s v="Current Que LEO Date EP Copy Print Status DBK Scroll No Scroll Date EGM Integration Status&#10;HIST  24 NOV 2017 00:11  Y  22915/2017  05 DEC 2017 00:12  Y "/>
        <s v="Current Que LEO Date EP Copy Print Status DBK Scroll No Scroll Date EGM Integration Status&#10;HIST  23 NOV 2017 00:11  Y  22915/2017  05 DEC 2017 00:12  Y "/>
        <s v="Current Que LEO Date EP Copy Print Status DBK Scroll No Scroll Date EGM Integration Status&#10;HIST  23 NOV 2017 00:11  Y  22850/2017  30 NOV 2017 00:11  Y "/>
        <s v="Current Que LEO Date EP Copy Print Status DBK Scroll No Scroll Date EGM Integration Status&#10;HIST  30 NOV 2017 00:11  Y  23003/2017  12 DEC 2017 00:12  Y "/>
        <s v="Current Que LEO Date EP Copy Print Status DBK Scroll No Scroll Date EGM Integration Status&#10;HIST  25 NOV 2017 00:11  Y  22915/2017  05 DEC 2017 00:12  Y "/>
        <s v="Current Que LEO Date EP Copy Print Status DBK Scroll No Scroll Date EGM Integration Status&#10;HIST  25 NOV 2017 00:11  Y  N.A.  N.A.  Y "/>
        <s v="Current Que LEO Date EP Copy Print Status DBK Scroll No Scroll Date EGM Integration Status&#10;HIST  28 NOV 2017 00:11  Y  24208/2018  09 MAR 2018 00:03  Y "/>
        <s v="Current Que LEO Date EP Copy Print Status DBK Scroll No Scroll Date EGM Integration Status&#10;HIST  30 NOV 2017 00:11  Y  24432/2018  25 MAR 2018 00:03  Y "/>
        <s v="Current Que LEO Date EP Copy Print Status DBK Scroll No Scroll Date EGM Integration Status&#10;HIST  29 NOV 2017 00:11  Y  24432/2018  25 MAR 2018 00:03  Y "/>
        <s v="Current Que LEO Date EP Copy Print Status DBK Scroll No Scroll Date EGM Integration Status&#10;HIST  01 DEC 2017 00:12  Y  N.A.  N.A.  Y "/>
        <s v="Current Que LEO Date EP Copy Print Status DBK Scroll No Scroll Date EGM Integration Status&#10;HIST  04 DEC 2017 00:12  Y  N.A.  N.A.  Y "/>
        <s v="Current Que LEO Date EP Copy Print Status DBK Scroll No Scroll Date EGM Integration Status&#10;HIST  04 DEC 2017 00:12  Y  23143/2017  22 DEC 2017 00:12  Y "/>
        <s v="Current Que LEO Date EP Copy Print Status DBK Scroll No Scroll Date EGM Integration Status&#10;HIST  04 DEC 2017 00:12  R  N.A.  N.A.  Y "/>
        <s v="Current Que LEO Date EP Copy Print Status DBK Scroll No Scroll Date EGM Integration Status&#10;HIST  06 DEC 2017 00:12  Y  23043/2017  15 DEC 2017 00:12  Y "/>
        <s v="Current Que LEO Date EP Copy Print Status DBK Scroll No Scroll Date EGM Integration Status&#10;HIST  04 DEC 2017 00:12  Y  23043/2017  15 DEC 2017 00:12  Y "/>
        <s v="Current Que LEO Date EP Copy Print Status DBK Scroll No Scroll Date EGM Integration Status&#10;HIST  01 DEC 2017 00:12  Y  23003/2017  12 DEC 2017 00:12  Y "/>
        <s v="Current Que LEO Date EP Copy Print Status DBK Scroll No Scroll Date EGM Integration Status&#10;HIST  05 DEC 2017 00:12  Y  23003/2017  12 DEC 2017 00:12  Y "/>
        <s v="Current Que LEO Date EP Copy Print Status DBK Scroll No Scroll Date EGM Integration Status&#10;HIST  05 DEC 2017 00:12  Y  24432/2018  25 MAR 2018 00:03  Y "/>
        <s v="Current Que LEO Date EP Copy Print Status DBK Scroll No Scroll Date EGM Integration Status&#10;HIST  04 DEC 2017 00:12  Y  23003/2017  12 DEC 2017 00:12  Y "/>
        <s v="Current Que LEO Date EP Copy Print Status DBK Scroll No Scroll Date EGM Integration Status&#10;HIST  07 DEC 2017 00:12  Y  23143/2017  22 DEC 2017 00:12  Y "/>
        <s v="Current Que LEO Date EP Copy Print Status DBK Scroll No Scroll Date EGM Integration Status&#10;HIST  07 DEC 2017 00:12  Y  N.A.  N.A.  Y "/>
        <s v="Current Que LEO Date EP Copy Print Status DBK Scroll No Scroll Date EGM Integration Status&#10;HIST  06 DEC 2017 00:12  Y  N.A.  N.A.  Y "/>
        <s v="Current Que LEO Date EP Copy Print Status DBK Scroll No Scroll Date EGM Integration Status&#10;HIST  06 DEC 2017 00:12  Y  23143/2017  22 DEC 2017 00:12  Y "/>
        <s v="Current Que LEO Date EP Copy Print Status DBK Scroll No Scroll Date EGM Integration Status&#10;HIST  07 DEC 2017 00:12  Y  23003/2017  12 DEC 2017 00:12  Y "/>
        <s v="Current Que LEO Date EP Copy Print Status DBK Scroll No Scroll Date EGM Integration Status&#10;HIST  13 DEC 2017 00:12  Y  23143/2017  22 DEC 2017 00:12  Y "/>
        <s v="Current Que LEO Date EP Copy Print Status DBK Scroll No Scroll Date EGM Integration Status&#10;HIST  07 DEC 2017 00:12  Y  23043/2017  15 DEC 2017 00:12  Y "/>
        <s v="Current Que LEO Date EP Copy Print Status DBK Scroll No Scroll Date EGM Integration Status&#10;HIST  08 DEC 2017 00:12  Y  N.A.  N.A.  Y "/>
        <s v="Current Que LEO Date EP Copy Print Status DBK Scroll No Scroll Date EGM Integration Status&#10;HIST  08 DEC 2017 00:12  Y  23237/2017  29 DEC 2017 00:12  Y "/>
        <s v="Current Que LEO Date EP Copy Print Status DBK Scroll No Scroll Date EGM Integration Status&#10;HIST  11 DEC 2017 00:12  Y  N.A.  N.A.  Y "/>
        <s v="Current Que LEO Date EP Copy Print Status DBK Scroll No Scroll Date EGM Integration Status&#10;HIST  18 DEC 2017 00:12  Y  23237/2017  29 DEC 2017 00:12  Y "/>
        <s v="Current Que LEO Date EP Copy Print Status DBK Scroll No Scroll Date EGM Integration Status&#10;HIST  13 DEC 2017 00:12  Y  23237/2017  29 DEC 2017 00:12  Y "/>
        <s v="Current Que LEO Date EP Copy Print Status DBK Scroll No Scroll Date EGM Integration Status&#10;HIST  15 DEC 2017 00:12  Y  23143/2017  22 DEC 2017 00:12  Y "/>
        <s v="Current Que LEO Date EP Copy Print Status DBK Scroll No Scroll Date EGM Integration Status&#10;HIST  13 DEC 2017 00:12  Y  N.A.  N.A.  Y "/>
        <s v="Current Que LEO Date EP Copy Print Status DBK Scroll No Scroll Date EGM Integration Status&#10;HIST  15 DEC 2017 00:12  Y  N.A.  N.A.  Y "/>
        <s v="Current Que LEO Date EP Copy Print Status DBK Scroll No Scroll Date EGM Integration Status&#10;HIST  14 DEC 2017 00:12  Y  N.A.  N.A.  Y "/>
        <s v="Current Que LEO Date EP Copy Print Status DBK Scroll No Scroll Date EGM Integration Status&#10;HIST  13 DEC 2017 00:12  Y  23835/2018  15 FEB 2018 00:02  Y "/>
        <s v="Current Que LEO Date EP Copy Print Status DBK Scroll No Scroll Date EGM Integration Status&#10;HIST  19 DEC 2017 00:12  Y  23237/2017  29 DEC 2017 00:12  Y "/>
        <s v="Current Que LEO Date EP Copy Print Status DBK Scroll No Scroll Date EGM Integration Status&#10;HIST  15 DEC 2017 00:12  Y  24082/2018  28 FEB 2018 00:02  Y "/>
        <s v="Current Que LEO Date EP Copy Print Status DBK Scroll No Scroll Date EGM Integration Status&#10;HIST  14 DEC 2017 00:12  Y  23143/2017  22 DEC 2017 00:12  Y "/>
        <s v="Current Que LEO Date EP Copy Print Status DBK Scroll No Scroll Date EGM Integration Status&#10;HIST  16 DEC 2017 00:12  Y  23143/2017  22 DEC 2017 00:12  Y "/>
        <s v="Current Que LEO Date EP Copy Print Status DBK Scroll No Scroll Date EGM Integration Status&#10;HIST  18 DEC 2017 00:12  Y  N.A.  N.A.  Y "/>
        <s v="Current Que LEO Date EP Copy Print Status DBK Scroll No Scroll Date EGM Integration Status&#10;HIST  19 DEC 2017 00:12  Y  N.A.  N.A.  Y "/>
        <s v="Current Que LEO Date EP Copy Print Status DBK Scroll No Scroll Date EGM Integration Status&#10;HIST  20 DEC 2017 00:12  Y  23414/2018  12 JAN 2018 00:01  Y "/>
        <s v="Current Que LEO Date EP Copy Print Status DBK Scroll No Scroll Date EGM Integration Status&#10;HIST  20 DEC 2017 00:12  Y  23237/2017  29 DEC 2017 00:12  Y "/>
        <s v="Current Que LEO Date EP Copy Print Status DBK Scroll No Scroll Date EGM Integration Status&#10;HIST  21 DEC 2017 00:12  Y  N.A.  N.A.  Y "/>
        <s v="Current Que LEO Date EP Copy Print Status DBK Scroll No Scroll Date EGM Integration Status&#10;HIST  27 DEC 2017 00:12  Y  N.A.  N.A.  Y "/>
        <s v="Current Que LEO Date EP Copy Print Status DBK Scroll No Scroll Date EGM Integration Status&#10;HIST  23 DEC 2017 00:12  Y  23328/2018  05 JAN 2018 00:01  Y "/>
        <s v="Current Que LEO Date EP Copy Print Status DBK Scroll No Scroll Date EGM Integration Status&#10;HIST  21 DEC 2017 00:12  Y  23237/2017  29 DEC 2017 00:12  Y "/>
        <s v="Current Que LEO Date EP Copy Print Status DBK Scroll No Scroll Date EGM Integration Status&#10;HIST  20 DEC 2017 00:12  Y  N.A.  N.A.  Y "/>
        <s v="Current Que LEO Date EP Copy Print Status DBK Scroll No Scroll Date EGM Integration Status&#10;HIST  22 DEC 2017 00:12  Y  N.A.  N.A.  Y "/>
        <s v="Current Que LEO Date EP Copy Print Status DBK Scroll No Scroll Date EGM Integration Status&#10;HIST  21 DEC 2017 00:12  Y  23328/2018  05 JAN 2018 00:01  Y "/>
        <s v="Current Que LEO Date EP Copy Print Status DBK Scroll No Scroll Date EGM Integration Status&#10;HIST  22 DEC 2017 00:12  Y  23328/2018  05 JAN 2018 00:01  Y "/>
        <s v="Current Que LEO Date EP Copy Print Status DBK Scroll No Scroll Date EGM Integration Status&#10;HIST  27 DEC 2017 00:12  Y  23328/2018  05 JAN 2018 00:01  Y "/>
        <s v="Current Que LEO Date EP Copy Print Status DBK Scroll No Scroll Date EGM Integration Status&#10;HIST  26 DEC 2017 00:12  Y  N.A.  N.A.  Y "/>
        <s v="Current Que LEO Date EP Copy Print Status DBK Scroll No Scroll Date EGM Integration Status&#10;HIST  26 DEC 2017 00:12  Y  23328/2018  05 JAN 2018 00:01  Y "/>
        <s v="Current Que LEO Date EP Copy Print Status DBK Scroll No Scroll Date EGM Integration Status&#10;HIST  28 DEC 2017 00:12  Y  24432/2018  25 MAR 2018 00:03  Y "/>
        <s v="Current Que LEO Date EP Copy Print Status DBK Scroll No Scroll Date EGM Integration Status&#10;HIST  28 DEC 2017 00:12  Y  N.A.  N.A.  Y "/>
        <s v="Current Que LEO Date EP Copy Print Status DBK Scroll No Scroll Date EGM Integration Status&#10;HIST  30 DEC 2017 00:12  Y  23414/2018  12 JAN 2018 00:01  Y "/>
        <s v="Current Que LEO Date EP Copy Print Status DBK Scroll No Scroll Date EGM Integration Status&#10;HIST  28 DEC 2017 00:12  Y  23414/2018  12 JAN 2018 00:01  Y "/>
        <s v="Current Que LEO Date EP Copy Print Status DBK Scroll No Scroll Date EGM Integration Status&#10;HIST  29 DEC 2017 00:12  Y  24432/2018  25 MAR 2018 00:03  Y "/>
        <s v="Current Que LEO Date EP Copy Print Status DBK Scroll No Scroll Date EGM Integration Status&#10;HIST  29 DEC 2017 00:12  Y  N.A.  N.A.  Y "/>
        <s v="Current Que LEO Date EP Copy Print Status DBK Scroll No Scroll Date EGM Integration Status&#10;HIST  03 JAN 2018 00:01  Y  23481/2018  18 JAN 2018 00:01  Y "/>
        <s v="Current Que LEO Date EP Copy Print Status DBK Scroll No Scroll Date EGM Integration Status&#10;HIST  01 JAN 2018 00:01  Y  N.A.  N.A.  Y "/>
        <s v="Current Que LEO Date EP Copy Print Status DBK Scroll No Scroll Date EGM Integration Status&#10;HIST  02 JAN 2018 00:01  Y  N.A.  N.A.  Y "/>
        <s v="Current Que LEO Date EP Copy Print Status DBK Scroll No Scroll Date EGM Integration Status&#10;HIST  30 DEC 2017 00:12  Y  24432/2018  25 MAR 2018 00:03  Y "/>
        <s v="Current Que LEO Date EP Copy Print Status DBK Scroll No Scroll Date EGM Integration Status&#10;HIST  05 JAN 2018 00:01  Y  N.A.  N.A.  Y "/>
        <s v="Current Que LEO Date EP Copy Print Status DBK Scroll No Scroll Date EGM Integration Status&#10;HIST  04 JAN 2018 00:01  Y  23414/2018  12 JAN 2018 00:01  Y "/>
        <s v="Current Que LEO Date EP Copy Print Status DBK Scroll No Scroll Date EGM Integration Status&#10;HIST  05 JAN 2018 00:01  Y  23414/2018  12 JAN 2018 00:01  Y "/>
        <s v="Current Que LEO Date EP Copy Print Status DBK Scroll No Scroll Date EGM Integration Status&#10;HIST  06 JAN 2018 00:01  Y  23643/2018  31 JAN 2018 00:01  Y "/>
      </sharedItems>
    </cacheField>
    <cacheField name="EGM no" numFmtId="0">
      <sharedItems>
        <s v="EGM No. EGM Date Container No. Seal No. Error Message&#10;Z17061407  2017-7-14 0.0.0.0  OOCU6870924  394223  N.A. "/>
        <s v="EGM No. EGM Date Container No. Seal No. Error Message&#10;R957660607  2017-7-6 0.0.0.0  TCNU3143079  393607  N.A. "/>
        <s v="EGM No. EGM Date Container No. Seal No. Error Message&#10;R247461607  2017-7-16 0.0.0.0  SEGU6019208  394241  N.A. "/>
        <s v="EGM No. EGM Date Container No. Seal No. Error Message&#10;R1817100108  2017-8-1 0.0.0.0  NYKU3719229  386464  N.A. "/>
        <s v="EGM No. EGM Date Container No. Seal No. Error Message&#10;R237360308  2017-8-3 0.0.0.0  FCIU8411137  396483  N.A. "/>
        <s v="EGM No. EGM Date Container No. Seal No. Error Message&#10;R857522807  2017-7-28 0.0.0.0  TCLU8863794  395965  N.A. "/>
        <s v="EGM No. EGM Date Container No. Seal No. Error Message&#10;J187520408  2017-8-4 0.0.0.0  BMOU2608183  397312  N.A. "/>
        <s v="EGM No. EGM Date Container No. Seal No. Error Message&#10;T757460308  2017-8-3 0.0.0.0  CBHU9524016  397314  N.A. "/>
        <s v="EGM No. EGM Date Container No. Seal No. Error Message&#10;T957180208  2017-8-2 0.0.0.0  NYKU5798417  396296  N.A. "/>
        <s v="EGM No. EGM Date Container No. Seal No. Error Message&#10;R777360308  2017-8-3 0.0.0.0  NYKU4725340  396275  N.A. "/>
        <s v="EGM No. EGM Date Container No. Seal No. Error Message&#10;J187520408  2017-8-4 0.0.0.0  IPXU3207943  397043  N.A. "/>
        <s v="EGM No. EGM Date Container No. Seal No. Error Message&#10;T967140708  2017-8-7 0.0.0.0  CRSU1370710  397366  N.A. "/>
        <s v="EGM No. EGM Date Container No. Seal No. Error Message&#10;R627900608  2017-8-6 0.0.0.0  ESPU8041896  397273  N.A. "/>
        <s v="EGM No. EGM Date Container No. Seal No. Error Message&#10;J187520408  2017-8-4 0.0.0.0  TCNU8236209  009265  N.A. "/>
        <s v="EGM No. EGM Date Container No. Seal No. Error Message&#10;R187761108  2017-8-11 0.0.0.0  IALU2255050  398038  N.A. "/>
        <s v="EGM No. EGM Date Container No. Seal No. Error Message&#10;R757581008  2017-8-10 0.0.0.0  GESU5984802  398012  N.A. "/>
        <s v="EGM No. EGM Date Container No. Seal No. Error Message&#10;T857300308  2017-8-3 0.0.0.0  FCIU2829217  014230  N.A. "/>
        <s v="EGM No. EGM Date Container No. Seal No. Error Message&#10;R757581008  2017-8-10 0.0.0.0  VSTU9000189  398018  N.A. "/>
        <s v="EGM No. EGM Date Container No. Seal No. Error Message&#10;R627900608  2017-8-6 0.0.0.0  TCLU5214235  397616  N.A. "/>
        <s v="EGM No. EGM Date Container No. Seal No. Error Message&#10;R467841108  2017-8-11 0.0.0.0  PCIU8208557  398061  N.A. "/>
        <s v="EGM No. EGM Date Container No. Seal No. Error Message&#10;R757581008  2017-8-10 0.0.0.0  GESU4903350  398031  N.A. "/>
        <s v="EGM No. EGM Date Container No. Seal No. Error Message&#10;T587961208  2017-8-12 0.0.0.0  VMLU3602131  398041  N.A. "/>
        <s v="EGM No. EGM Date Container No. Seal No. Error Message&#10;T857661708  2017-8-17 0.0.0.0  MRKU7285779  398326  N.A. "/>
        <s v="EGM No. EGM Date Container No. Seal No. Error Message&#10;T887020608  2017-8-6 0.0.0.0  CSLU2276080  396967  N.A. "/>
        <s v="EGM No. EGM Date Container No. Seal No. Error Message&#10;T887020608  2017-8-6 0.0.0.0  CCLU5302047  396980  N.A. "/>
        <s v="EGM No. EGM Date Container No. Seal No. Error Message&#10;R797122008  2017-8-20 0.0.0.0  RFSU2002442  398692  N.A. "/>
        <s v="EGM No. EGM Date Container No. Seal No. Error Message&#10;T757422208  2017-8-22 0.0.0.0  MSKU5798590  399514  N.A. "/>
        <s v="EGM No. EGM Date Container No. Seal No. Error Message&#10;R757581008  2017-8-10 0.0.0.0  TCKU9945570  397386  N.A. "/>
        <s v="EGM No. EGM Date Container No. Seal No. Error Message&#10;R847681008  2017-8-10 0.0.0.0  THLU2130227  398013  N.A. "/>
        <s v="EGM No. EGM Date Container No. Seal No. Error Message&#10;T587961208  2017-8-12 0.0.0.0  ZCSU2559071  398088  N.A. "/>
        <s v="EGM No. EGM Date Container No. Seal No. Error Message&#10;R347041908  2017-8-19 0.0.0.0  TCNU4953686  398681  N.A. "/>
        <s v="EGM No. EGM Date Container No. Seal No. Error Message&#10;T747880608  2017-8-6 0.0.0.0  MSKU8535597  015881  N.A. "/>
        <s v="EGM No. EGM Date Container No. Seal No. Error Message&#10;R367241508  2017-8-15 0.0.0.0  TEMU7607563  398610  N.A. "/>
        <s v="EGM No. EGM Date Container No. Seal No. Error Message&#10;T587961208  2017-8-12 0.0.0.0  FCIU8449214  398049  N.A. "/>
        <s v="EGM No. EGM Date Container No. Seal No. Error Message&#10;R957502308  2017-8-23 0.0.0.0  ZCSU6529476  399516  N.A. "/>
        <s v="EGM No. EGM Date Container No. Seal No. Error Message&#10;R467841108  2017-8-11 0.0.0.0  SIKU3077183  398074  N.A. "/>
        <s v="EGM No. EGM Date Container No. Seal No. Error Message&#10;R247281508  2017-8-15 0.0.0.0  CLHU8419145  398617  N.A. "/>
        <s v="EGM No. EGM Date Container No. Seal No. Error Message&#10;J167821108  2017-8-11 0.0.0.0  MRSU3359958  398193  N.A. "/>
        <s v="EGM No. EGM Date Container No. Seal No. Error Message&#10;R367241508  2017-8-15 0.0.0.0  BSIU9154848  398377  N.A. "/>
        <s v="EGM No. EGM Date Container No. Seal No. Error Message&#10;R467841108  2017-8-11 0.0.0.0  TCKU3614596  398071  N.A. "/>
        <s v="EGM No. EGM Date Container No. Seal No. Error Message&#10;R487082008  2017-8-20 0.0.0.0  CLHU9043812  398678  N.A. "/>
        <s v="EGM No. EGM Date Container No. Seal No. Error Message&#10;R347041908  2017-8-19 0.0.0.0  CCSU5653592  398689  N.A. "/>
        <s v="EGM No. EGM Date Container No. Seal No. Error Message&#10;T847481608  2017-8-16 0.0.0.0  SUDU7507315  398620  N.A. "/>
        <s v="EGM No. EGM Date Container No. Seal No. Error Message&#10;T567841908  2017-8-19 0.0.0.0  CCLU6335831  398647  N.A. "/>
        <s v="EGM No. EGM Date Container No. Seal No. Error Message&#10;T957582308  2017-8-23 0.0.0.0  FCIU5841073  399543  N.A. "/>
        <s v="EGM No. EGM Date Container No. Seal No. Error Message&#10;N.A.  N.A.  N.A.  N.A.  N.A. "/>
        <s v="EGM No. EGM Date Container No. Seal No. Error Message&#10;R387561708  2017-8-17 0.0.0.0  CXDU1101779  398772  N.A. "/>
        <s v="EGM No. EGM Date Container No. Seal No. Error Message&#10;R467902508  2017-8-25 0.0.0.0  BMOU6258360  399629  N.A. "/>
        <s v="EGM No. EGM Date Container No. Seal No. Error Message&#10;TX197783108  2017-8-31 0.0.0.0  WHLU5249023  400237  N.A. "/>
        <s v="EGM No. EGM Date Container No. Seal No. Error Message&#10;R127262708  2017-8-27 0.0.0.0  GESU5095600  399594  N.A. "/>
        <s v="EGM No. EGM Date Container No. Seal No. Error Message&#10;R487082008  2017-8-20 0.0.0.0  BSIU2524581  398651  N.A. "/>
        <s v="EGM No. EGM Date Container No. Seal No. Error Message&#10;J207823108  2017-8-31 0.0.0.0  MEDU7287066  400247  N.A. "/>
        <s v="EGM No. EGM Date Container No. Seal No. Error Message&#10;T957582308  2017-8-23 0.0.0.0  MRKU6649496  399437  N.A. "/>
        <s v="EGM No. EGM Date Container No. Seal No. Error Message&#10;R857781808  2017-8-18 0.0.0.0  UNIU2052951  398643  N.A. "/>
        <s v="EGM No. EGM Date Container No. Seal No. Error Message&#10;R127262708  2017-8-27 0.0.0.0  HASU1199758  399248  N.A. "/>
        <s v="EGM No. EGM Date Container No. Seal No. Error Message&#10;R207802508  2017-8-25 0.0.0.0  MSKU7268433  399449  N.A. "/>
        <s v="EGM No. EGM Date Container No. Seal No. Error Message&#10;R807442208  2017-8-22 0.0.0.0  PCIU8179227  399508  N.A. "/>
        <s v="EGM No. EGM Date Container No. Seal No. Error Message&#10;R87120209  2017-9-2 0.0.0.0  TCNU7158117  401010  N.A. "/>
        <s v="EGM No. EGM Date Container No. Seal No. Error Message&#10;R127262708  2017-8-27 0.0.0.0  RFCU2145800  399580  N.A. "/>
        <s v="EGM No. EGM Date Container No. Seal No. Error Message&#10;T957582308  2017-8-23 0.0.0.0  HASU4272343  399531  N.A. "/>
        <s v="EGM No. EGM Date Container No. Seal No. Error Message&#10;R87120209  2017-9-2 0.0.0.0  TGHU7862323  4001009  N.A. "/>
        <s v="EGM No. EGM Date Container No. Seal No. Error Message&#10;R577683008  2017-8-30 0.0.0.0  AXIU2216000  399584  N.A. "/>
        <s v="EGM No. EGM Date Container No. Seal No. Error Message&#10;R917162708  2017-8-27 0.0.0.0  WHLU5136177  400214  N.A. "/>
        <s v="EGM No. EGM Date Container No. Seal No. Error Message&#10;R1477100209  2017-9-2 0.0.0.0  FSCU9987548  401004  N.A. "/>
        <s v="EGM No. EGM Date Container No. Seal No. Error Message&#10;R917162708  2017-8-27 0.0.0.0  TCLU9275028  399574  N.A. "/>
        <s v="EGM No. EGM Date Container No. Seal No. Error Message&#10;R027922508  2017-8-25 0.0.0.0  TCLU9529586  003209  N.A. "/>
        <s v="EGM No. EGM Date Container No. Seal No. Error Message&#10;R557142608  2017-8-26 0.0.0.0  VMLU3500891  399839  N.A. "/>
        <s v="EGM No. EGM Date Container No. Seal No. Error Message&#10;TX187202708  2017-8-27 0.0.0.0  DRYU9598215  399569  N.A. "/>
        <s v="EGM No. EGM Date Container No. Seal No. Error Message&#10;T917703008  2017-8-30 0.0.0.0  EMCU3961694  400391  N.A. "/>
        <s v="EGM No. EGM Date Container No. Seal No. Error Message&#10;TR5624  2018-1-11 0.0.0.0  BEAU4057547  400081  N.A. "/>
        <s v="EGM No. EGM Date Container No. Seal No. Error Message&#10;T777562908  2017-8-29 0.0.0.0  ZCSU6509680  400220  N.A. "/>
        <s v="EGM No. EGM Date Container No. Seal No. Error Message&#10;R917162708  2017-8-27 0.0.0.0  WSCU8099149  399598  N.A. "/>
        <s v="EGM No. EGM Date Container No. Seal No. Error Message&#10;T877720509  2017-9-5 0.0.0.0  TCNU9608445  401062  N.A. "/>
        <s v="EGM No. EGM Date Container No. Seal No. Error Message&#10;R317382808  2017-8-28 0.0.0.0  HJMU2911781  400157  N.A. "/>
        <s v="EGM No. EGM Date Container No. Seal No. Error Message&#10;J187200809  2017-9-8 0.0.0.0  BMOU6028286  401251  N.A. "/>
        <s v="EGM No. EGM Date Container No. Seal No. Error Message&#10;T707121409  2017-9-14 0.0.0.0  PONU1385155  401038  N.A. "/>
        <s v="EGM No. EGM Date Container No. Seal No. Error Message&#10;J207160709  2017-9-7 0.0.0.0  TCNU3029050  401092  N.A. "/>
        <s v="EGM No. EGM Date Container No. Seal No. Error Message&#10;T677920109  2017-9-1 0.0.0.0  CMAU0445325  400284  N.A. "/>
        <s v="EGM No. EGM Date Container No. Seal No. Error Message&#10;R267422908  2017-8-29 0.0.0.0  WHLU5156390  400214  N.A. "/>
        <s v="EGM No. EGM Date Container No. Seal No. Error Message&#10;R507320309  2017-9-3 0.0.0.0  YMLU3007152  401008  N.A. "/>
        <s v="EGM No. EGM Date Container No. Seal No. Error Message&#10;J247502908  2017-8-29 0.0.0.0  CRSU1065595  400161  N.A. "/>
        <s v="EGM No. EGM Date Container No. Seal No. Error Message&#10;T987883108  2017-8-31 0.0.0.0  FSCU9016795  400271  N.A. "/>
        <s v="EGM No. EGM Date Container No. Seal No. Error Message&#10;R87120209  2017-9-2 0.0.0.0  TCNU9495631  401027  N.A. "/>
        <s v="EGM No. EGM Date Container No. Seal No. Error Message&#10;R967440909  2017-9-9 0.0.0.0  TRHU2939342  401884  N.A. "/>
        <s v="EGM No. EGM Date Container No. Seal No. Error Message&#10;T657743008  2017-8-30 0.0.0.0  NYKU3374976  400579  N.A. "/>
        <s v="EGM No. EGM Date Container No. Seal No. Error Message&#10;R577683008  2017-8-30 0.0.0.0  BAXU2611948  400226  N.A. "/>
        <s v="EGM No. EGM Date Container No. Seal No. Error Message&#10;J207823108  2017-8-31 0.0.0.0  OOCU6867324  400241  N.A. "/>
        <s v="EGM No. EGM Date Container No. Seal No. Error Message&#10;R1477100209  2017-9-2 0.0.0.0  SUDU1912157  401025  N.A. "/>
        <s v="EGM No. EGM Date Container No. Seal No. Error Message&#10;R487220809  2017-9-8 0.0.0.0  TCLU5962520  401218  N.A. "/>
        <s v="EGM No. EGM Date Container No. Seal No. Error Message&#10;T777562908  2017-8-29 0.0.0.0  MSKU8840543  400310  N.A. "/>
        <s v="EGM No. EGM Date Container No. Seal No. Error Message&#10;R477723008  2017-8-30 0.0.0.0  MRKU2773364  400587  N.A. "/>
        <s v="EGM No. EGM Date Container No. Seal No. Error Message&#10;T657743008  2017-8-30 0.0.0.0  MRKU5421562  400543  N.A. "/>
        <s v="EGM No. EGM Date Container No. Seal No. Error Message&#10;J277920609  2017-9-6 0.0.0.0  GVCU2190150  404072  N.A. "/>
        <s v="EGM No. EGM Date Container No. Seal No. Error Message&#10;R87120209  2017-9-2 0.0.0.0  TRHU1951343  401012  N.A. "/>
        <s v="EGM No. EGM Date Container No. Seal No. Error Message&#10;R547020109  2017-9-1 0.0.0.0  MRKU3880984  400965  N.A. "/>
        <s v="EGM No. EGM Date Container No. Seal No. Error Message&#10;R547020109  2017-9-1 0.0.0.0  MSKU9114648  400966  N.A. "/>
        <s v="EGM No. EGM Date Container No. Seal No. Error Message&#10;J477680509  2017-9-5 0.0.0.0  CRXU3303349  401228  N.A. "/>
        <s v="EGM No. EGM Date Container No. Seal No. Error Message&#10;J477680509  2017-9-5 0.0.0.0  TRIU9841182  003229  N.A. "/>
        <s v="EGM No. EGM Date Container No. Seal No. Error Message&#10;R487220809  2017-9-8 0.0.0.0  OOLU9558367  401081  N.A. "/>
        <s v="EGM No. EGM Date Container No. Seal No. Error Message&#10;J207160709  2017-9-7 0.0.0.0  NYKU5457534  401087  N.A. "/>
        <s v="EGM No. EGM Date Container No. Seal No. Error Message&#10;R1477641709  2017-9-17 0.0.0.0  TTNU9450840  402656  N.A. "/>
        <s v="EGM No. EGM Date Container No. Seal No. Error Message&#10;TX187901209  2017-9-12 0.0.0.0  BMOU2854715  402096  N.A. "/>
        <s v="EGM No. EGM Date Container No. Seal No. Error Message&#10;R587480909  2017-9-9 0.0.0.0  CAIU8999547  402029  N.A. "/>
        <s v="EGM No. EGM Date Container No. Seal No. Error Message&#10;R917840609  2017-9-6 0.0.0.0  MSKU3385339  031724  N.A. "/>
        <s v="EGM No. EGM Date Container No. Seal No. Error Message&#10;T707360909  2017-9-9 0.0.0.0  CAXU9973575  402040  N.A. "/>
        <s v="EGM No. EGM Date Container No. Seal No. Error Message&#10;R587480909  2017-9-9 0.0.0.0  BMOU6357717  001864  N.A. "/>
        <s v="EGM No. EGM Date Container No. Seal No. Error Message&#10;R827781109  2017-9-11 0.0.0.0  GLDU5619874  402076  N.A. "/>
        <s v="EGM No. EGM Date Container No. Seal No. Error Message&#10;R717581009  2017-9-10 0.0.0.0  TSAU2702857  402113  N.A. "/>
        <s v="EGM No. EGM Date Container No. Seal No. Error Message&#10;R1117461609  2017-9-16 0.0.0.0  HASU4843951  402672  N.A. "/>
        <s v="EGM No. EGM Date Container No. Seal No. Error Message&#10;T987040709  2017-9-7 0.0.0.0  TCLU5779294  014691  N.A. "/>
        <s v="EGM No. EGM Date Container No. Seal No. Error Message&#10;R827781109  2017-9-11 0.0.0.0  BAXU5005517  402092  N.A. "/>
        <s v="EGM No. EGM Date Container No. Seal No. Error Message&#10;J477982609  2017-9-26 0.0.0.0  SEGU1281597  404224  N.A. "/>
        <s v="EGM No. EGM Date Container No. Seal No. Error Message&#10;R687621009  2017-9-10 0.0.0.0  CAXU8041890  402039  N.A. "/>
        <s v="EGM No. EGM Date Container No. Seal No. Error Message&#10;R857260809  2017-9-8 0.0.0.0  BMOU6363160  402005  N.A. "/>
        <s v="EGM No. EGM Date Container No. Seal No. Error Message&#10;R577102009  2017-9-20 0.0.0.0  FCIU8912801  403359  N.A. "/>
        <s v="EGM No. EGM Date Container No. Seal No. Error Message&#10;R887140709  2017-9-7 0.0.0.0  MRKU4572116  401877  N.A. "/>
        <s v="EGM No. EGM Date Container No. Seal No. Error Message&#10;R887140709  2017-9-7 0.0.0.0  MRKU4572116  401879  N.A. "/>
        <s v="EGM No. EGM Date Container No. Seal No. Error Message&#10;R887140709  2017-9-7 0.0.0.0  MSKU1820720  401844  N.A. "/>
        <s v="EGM No. EGM Date Container No. Seal No. Error Message&#10;R137262109  2017-9-21 0.0.0.0  DFSU2836647  403366  N.A. "/>
        <s v="EGM No. EGM Date Container No. Seal No. Error Message&#10;R827781109  2017-9-11 0.0.0.0  IRNU4551480  402099  N.A. "/>
        <s v="EGM No. EGM Date Container No. Seal No. Error Message&#10;T707360909  2017-9-9 0.0.0.0  BEAU4624635  402036  N.A. "/>
        <s v="EGM No. EGM Date Container No. Seal No. Error Message&#10;J207160709  2017-9-7 0.0.0.0  HLBU1502918  000515  N.A. "/>
        <s v="EGM No. EGM Date Container No. Seal No. Error Message&#10;T417981309  2017-9-13 0.0.0.0  BAXU5064802  402212  N.A. "/>
        <s v="EGM No. EGM Date Container No. Seal No. Error Message&#10;R517202109  2017-9-21 0.0.0.0  APZU3002351  402539  N.A. "/>
        <s v="EGM No. EGM Date Container No. Seal No. Error Message&#10;T707121409  2017-9-14 0.0.0.0  BEAU4623808  402610  N.A. "/>
        <s v="EGM No. EGM Date Container No. Seal No. Error Message&#10;R667380909  2017-9-9 0.0.0.0  INKU6640898  003234  N.A. "/>
        <s v="EGM No. EGM Date Container No. Seal No. Error Message&#10;R917401509  2017-9-15 0.0.0.0  TCNU4310695  402647  N.A. "/>
        <s v="EGM No. EGM Date Container No. Seal No. Error Message&#10;R1107481609  2017-9-16 0.0.0.0  KMTU7228639  402645  N.A. "/>
        <s v="EGM No. EGM Date Container No. Seal No. Error Message&#10;R667781809  2017-9-18 0.0.0.0  CRXU3033449  403319  N.A. "/>
        <s v="EGM No. EGM Date Container No. Seal No. Error Message&#10;R777282109  2017-9-21 0.0.0.0  TGHU9884825  403376  N.A. "/>
        <s v="EGM No. EGM Date Container No. Seal No. Error Message&#10;R367602309  2017-9-23 0.0.0.0  CAIU7114563  403933  N.A. "/>
        <s v="EGM No. EGM Date Container No. Seal No. Error Message&#10;R157821809  2017-9-18 0.0.0.0  INKU6262099  403336  N.A. "/>
        <s v="EGM No. EGM Date Container No. Seal No. Error Message&#10;R157821809  2017-9-18 0.0.0.0  CCLU6335831  403325  N.A. "/>
        <s v="EGM No. EGM Date Container No. Seal No. Error Message&#10;R1117461609  2017-9-16 0.0.0.0  NYKU4408134  402667  N.A. "/>
        <s v="EGM No. EGM Date Container No. Seal No. Error Message&#10;R917401509  2017-9-15 0.0.0.0  TCNU3705026  000111  N.A. "/>
        <s v="EGM No. EGM Date Container No. Seal No. Error Message&#10;R137262109  2017-9-21 0.0.0.0  VSTU9000234  403375  N.A. "/>
        <s v="EGM No. EGM Date Container No. Seal No. Error Message&#10;T257542209  2017-9-22 0.0.0.0  ZCSU8532458  403390  N.A. "/>
        <s v="EGM No. EGM Date Container No. Seal No. Error Message&#10;R137262109  2017-9-21 0.0.0.0  PONU2056658  403381  N.A. "/>
        <s v="EGM No. EGM Date Container No. Seal No. Error Message&#10;J277642309  2017-9-23 0.0.0.0  DFSU2494143  403925  N.A. "/>
        <s v="EGM No. EGM Date Container No. Seal No. Error Message&#10;T437022609  2017-9-26 0.0.0.0  BLJU4450787  403977  N.A. "/>
        <s v="EGM No. EGM Date Container No. Seal No. Error Message&#10;R157821809  2017-9-18 0.0.0.0  TRLU6853517  403326  N.A. "/>
        <s v="EGM No. EGM Date Container No. Seal No. Error Message&#10;R367681709  2017-9-17 0.0.0.0  MRKU3498204  403242  N.A. "/>
        <s v="EGM No. EGM Date Container No. Seal No. Error Message&#10;R367681709  2017-9-17 0.0.0.0  MRKU3066936  403208  N.A. "/>
        <s v="EGM No. EGM Date Container No. Seal No. Error Message&#10;TX227302109  2017-9-21 0.0.0.0  SEGU5562627  001866  N.A. "/>
        <s v="EGM No. EGM Date Container No. Seal No. Error Message&#10;R157821809  2017-9-18 0.0.0.0  WHLU5173740  403333  N.A. "/>
        <s v="EGM No. EGM Date Container No. Seal No. Error Message&#10;R777282109  2017-9-21 0.0.0.0  MSCU3061583  403622  N.A. "/>
        <s v="EGM No. EGM Date Container No. Seal No. Error Message&#10;R227902509  2017-9-25 0.0.0.0  HLXU4543158  403952  N.A. "/>
        <s v="EGM No. EGM Date Container No. Seal No. Error Message&#10;R227902509  2017-9-25 0.0.0.0  BSIU3015188  403955  N.A. "/>
        <s v="EGM No. EGM Date Container No. Seal No. Error Message&#10;R367602309  2017-9-23 0.0.0.0  KKTU8256558  404113  N.A. "/>
        <s v="EGM No. EGM Date Container No. Seal No. Error Message&#10;R1667820810  2017-10-8 0.0.0.0  PCIU9157109  405628  N.A. "/>
        <s v="EGM No. EGM Date Container No. Seal No. Error Message&#10;T507322809  2017-9-28 0.0.0.0  KKFU7110034  404820  N.A. "/>
        <s v="EGM No. EGM Date Container No. Seal No. Error Message&#10;T987822409  2017-9-24 0.0.0.0  TGHU2668341  404194  N.A. "/>
        <s v="EGM No. EGM Date Container No. Seal No. Error Message&#10;T657202709  2017-9-27 0.0.0.0  TCKU3783810  404712  N.A. "/>
        <s v="EGM No. EGM Date Container No. Seal No. Error Message&#10;T257542209  2017-9-22 0.0.0.0  MSKU0286482  403929  N.A. "/>
        <s v="EGM No. EGM Date Container No. Seal No. Error Message&#10;R627583009  2017-9-30 0.0.0.0  WHLU5123143  404839  N.A. "/>
        <s v="EGM No. EGM Date Container No. Seal No. Error Message&#10;R1417663009  2017-9-30 0.0.0.0  MSCU3996447  404832  N.A. "/>
        <s v="EGM No. EGM Date Container No. Seal No. Error Message&#10;R1287020910  2017-10-9 0.0.0.0  WHLU5190049  406519  N.A. "/>
        <s v="EGM No. EGM Date Container No. Seal No. Error Message&#10;R687402909  2017-9-29 0.0.0.0  ETEU8125022  404528  N.A. "/>
        <s v="EGM No. EGM Date Container No. Seal No. Error Message&#10;R1667180410  2017-10-4 0.0.0.0  GESU3267295  404881  N.A. "/>
        <s v="EGM No. EGM Date Container No. Seal No. Error Message&#10;R957122609  2017-9-26 0.0.0.0  CAXU9027937  403976  N.A. "/>
        <s v="EGM No. EGM Date Container No. Seal No. Error Message&#10;R1317440610  2017-10-6 0.0.0.0  GESU3460468  405618  N.A. "/>
        <s v="EGM No. EGM Date Container No. Seal No. Error Message&#10;R557581410  2017-10-14 0.0.0.0  SEGU4659588  407217  N.A. "/>
        <s v="EGM No. EGM Date Container No. Seal No. Error Message&#10;R577800810  2017-10-8 0.0.0.0  HDMU6805133  406508  N.A. "/>
        <s v="EGM No. EGM Date Container No. Seal No. Error Message&#10;R557720110  2017-10-1 0.0.0.0  BMOU6932354  001869  N.A. "/>
        <s v="EGM No. EGM Date Container No. Seal No. Error Message&#10;R1217640710  2017-10-7 0.0.0.0  MRKU6860723  406078  N.A. "/>
        <s v="EGM No. EGM Date Container No. Seal No. Error Message&#10;R1317440610  2017-10-6 0.0.0.0  MRKU6812849  406077  N.A. "/>
        <s v="EGM No. EGM Date Container No. Seal No. Error Message&#10;TX227401910  2017-10-19 0.0.0.0  CAXU3150029  407289  N.A. "/>
        <s v="EGM No. EGM Date Container No. Seal No. Error Message&#10;R977361210  2017-10-12 0.0.0.0  TGHU9620740  406014  N.A. "/>
        <s v="EGM No. EGM Date Container No. Seal No. Error Message&#10;R137720810  2017-10-8 0.0.0.0  CNSU2028217  405679  N.A. "/>
        <s v="EGM No. EGM Date Container No. Seal No. Error Message&#10;R1217640710  2017-10-7 0.0.0.0  WHLU2822403  406178  N.A. "/>
        <s v="EGM No. EGM Date Container No. Seal No. Error Message&#10;T437260510  2017-10-5 0.0.0.0  TCNU4466055  000948  N.A. "/>
        <s v="EGM No. EGM Date Container No. Seal No. Error Message&#10;T897160410  2017-10-4 0.0.0.0  TCKU1990300  000949  N.A. "/>
        <s v="EGM No. EGM Date Container No. Seal No. Error Message&#10;R1287020910  2017-10-9 0.0.0.0  CCSU8593755  405692  N.A. "/>
        <s v="EGM No. EGM Date Container No. Seal No. Error Message&#10;T567481910  2017-10-19 0.0.0.0  NYKU4815253  407294  N.A. "/>
        <s v="EGM No. EGM Date Container No. Seal No. Error Message&#10;R37161110  2017-10-11 0.0.0.0  WHLU5142863  406553  N.A. "/>
        <s v="EGM No. EGM Date Container No. Seal No. Error Message&#10;J467261810  2017-10-18 0.0.0.0  TCNU6969193  407275  N.A. "/>
        <s v="EGM No. EGM Date Container No. Seal No. Error Message&#10;R297241810  2017-10-18 0.0.0.0  MRKU9663923  407271  N.A. "/>
        <s v="EGM No. EGM Date Container No. Seal No. Error Message&#10;R1477041710  2017-10-17 0.0.0.0  BMOU6923100  406966  N.A. "/>
        <s v="EGM No. EGM Date Container No. Seal No. Error Message&#10;R1287020910  2017-10-9 0.0.0.0  TCKU1325362  406513  N.A. "/>
        <s v="EGM No. EGM Date Container No. Seal No. Error Message&#10;R137720810  2017-10-8 0.0.0.0  BAXU2688364  406251  N.A. "/>
        <s v="EGM No. EGM Date Container No. Seal No. Error Message&#10;R37161110  2017-10-11 0.0.0.0  GESU2985600  40629  N.A. "/>
        <s v="EGM No. EGM Date Container No. Seal No. Error Message&#10;R867621410  2017-10-14 0.0.0.0  NYKU2797166  407212  N.A. "/>
        <s v="EGM No. EGM Date Container No. Seal No. Error Message&#10;R867621410  2017-10-14 0.0.0.0  GVCU5250627  407221  N.A. "/>
        <s v="EGM No. EGM Date Container No. Seal No. Error Message&#10;R417321210  2017-10-12 0.0.0.0  GATU8593405  406813  N.A. "/>
        <s v="EGM No. EGM Date Container No. Seal No. Error Message&#10;T977721510  2017-10-15 0.0.0.0  PCIU8176974  406590  N.A. "/>
        <s v="EGM No. EGM Date Container No. Seal No. Error Message&#10;R977361210  2017-10-12 0.0.0.0  APZU2129906  406657  N.A. "/>
        <s v="EGM No. EGM Date Container No. Seal No. Error Message&#10;R587241110  2017-10-11 0.0.0.0  GLDU5661534  406447  N.A. "/>
        <s v="EGM No. EGM Date Container No. Seal No. Error Message&#10;R867621410  2017-10-14 0.0.0.0  CAIU7480618  407224  N.A. "/>
        <s v="EGM No. EGM Date Container No. Seal No. Error Message&#10;R157782210  2017-10-22 0.0.0.0  MRKU5061888  407765  N.A. "/>
        <s v="EGM No. EGM Date Container No. Seal No. Error Message&#10;R957461310  2017-10-13 0.0.0.0  AMFU8533571  407208  N.A. "/>
        <s v="EGM No. EGM Date Container No. Seal No. Error Message&#10;R887682110  2017-10-21 0.0.0.0  GLDU0850350  407702  N.A. "/>
        <s v="EGM No. EGM Date Container No. Seal No. Error Message&#10;R867621410  2017-10-14 0.0.0.0  TCNU8961632  406571  N.A. "/>
        <s v="EGM No. EGM Date Container No. Seal No. Error Message&#10;R867621410  2017-10-14 0.0.0.0  BAXU5056052  407207  N.A. "/>
        <s v="EGM No. EGM Date Container No. Seal No. Error Message&#10;T907562710  2017-10-27 0.0.0.0  TCNU6623955  408335  N.A. "/>
        <s v="EGM No. EGM Date Container No. Seal No. Error Message&#10;R687802210  2017-10-22 0.0.0.0  VSTU9000208  407755  N.A. "/>
        <s v="EGM No. EGM Date Container No. Seal No. Error Message&#10;R867621410  2017-10-14 0.0.0.0  RFSU2005740  407192  N.A. "/>
        <s v="EGM No. EGM Date Container No. Seal No. Error Message&#10;R917360111  2017-11-1 0.0.0.0  CAXU9973575  408924  N.A. "/>
        <s v="EGM No. EGM Date Container No. Seal No. Error Message&#10;J207942310  2017-10-23 0.0.0.0  DFSU6802732  407794  N.A. "/>
        <s v="EGM No. EGM Date Container No. Seal No. Error Message&#10;R157782210  2017-10-22 0.0.0.0  NYKU4430478  407751  N.A. "/>
        <s v="EGM No. EGM Date Container No. Seal No. Error Message&#10;R687802210  2017-10-22 0.0.0.0  HDMU2678133  40779  N.A. "/>
        <s v="EGM No. EGM Date Container No. Seal No. Error Message&#10;T937660411  2017-11-4 0.0.0.0  SEGU4994420  408956  N.A. "/>
        <s v="EGM No. EGM Date Container No. Seal No. Error Message&#10;T427042410  2017-10-24 0.0.0.0  TTNU9450840  407792  N.A. "/>
        <s v="EGM No. EGM Date Container No. Seal No. Error Message&#10;T887462710  2017-10-27 0.0.0.0  SUDU1349505  408331  N.A. "/>
        <s v="EGM No. EGM Date Container No. Seal No. Error Message&#10;R437682810  2017-10-28 0.0.0.0  FCIU9221260  408359  N.A. "/>
        <s v="EGM No. EGM Date Container No. Seal No. Error Message&#10;R617602810  2017-10-28 0.0.0.0  TTNU9813289  408340  N.A. "/>
        <s v="EGM No. EGM Date Container No. Seal No. Error Message&#10;T567242510  2017-10-25 0.0.0.0  DRYU9359519  408313  N.A. "/>
        <s v="EGM No. EGM Date Container No. Seal No. Error Message&#10;R867722910  2017-10-29 0.0.0.0  TGHU0568934  408516  N.A. "/>
        <s v="EGM No. EGM Date Container No. Seal No. Error Message&#10;R597123010  2017-10-30 0.0.0.0  ZCSU2655603  408394  N.A. "/>
        <s v="EGM No. EGM Date Container No. Seal No. Error Message&#10;R117101311  2017-11-13 0.0.0.0  GLDU7092036  410152  N.A. "/>
        <s v="EGM No. EGM Date Container No. Seal No. Error Message&#10;R1237600311  2017-11-3 0.0.0.0  TCLU8954847  409204  N.A. "/>
        <s v="EGM No. EGM Date Container No. Seal No. Error Message&#10;J237680411  2017-11-4 0.0.0.0  TCLU3101163  408966  N.A. "/>
        <s v="EGM No. EGM Date Container No. Seal No. Error Message&#10;J237680411  2017-11-4 0.0.0.0  HNSU2035740  408975  N.A. "/>
        <s v="EGM No. EGM Date Container No. Seal No. Error Message&#10;T417481011  2017-11-10 0.0.0.0  NYKU3240133  409783  N.A. "/>
        <s v="EGM No. EGM Date Container No. Seal No. Error Message&#10;R857060711  2017-11-7 0.0.0.0  BMOU5903388  408984  N.A. "/>
        <s v="EGM No. EGM Date Container No. Seal No. Error Message&#10;R1307141411  2017-11-14 0.0.0.0  BSIU9258478  410288  N.A. "/>
        <s v="EGM No. EGM Date Container No. Seal No. Error Message&#10;R917281511  2017-11-15 0.0.0.0  MSKU5046484  410116  N.A. "/>
        <s v="EGM No. EGM Date Container No. Seal No. Error Message&#10;T897181411  2017-11-14 0.0.0.0  GVCU5235474  410172  N.A. "/>
        <s v="EGM No. EGM Date Container No. Seal No. Error Message&#10;J237680411  2017-11-4 0.0.0.0  BSIU2923410  409431  N.A. "/>
        <s v="EGM No. EGM Date Container No. Seal No. Error Message&#10;T257561711  2017-11-17 0.0.0.0  CCLU3768859  410722  N.A. "/>
        <s v="EGM No. EGM Date Container No. Seal No. Error Message&#10;R917281511  2017-11-15 0.0.0.0  CRXU9830141  410173  N.A. "/>
        <s v="EGM No. EGM Date Container No. Seal No. Error Message&#10;R757340911  2017-11-9 0.0.0.0  CAIU2219324  409773  N.A. "/>
        <s v="EGM No. EGM Date Container No. Seal No. Error Message&#10;R67142711  2017-11-27 0.0.0.0  TRHU3490683  411926  N.A. "/>
        <s v="EGM No. EGM Date Container No. Seal No. Error Message&#10;T957380911  2017-11-9 0.0.0.0  CAIU8861239  409849  N.A. "/>
        <s v="EGM No. EGM Date Container No. Seal No. Error Message&#10;R987721111  2017-11-11 0.0.0.0  HMMU6037769  409797  N.A. "/>
        <s v="EGM No. EGM Date Container No. Seal No. Error Message&#10;T437622212  2017-12-22 0.0.0.0  TCKU3159445  414297  N.A. "/>
        <s v="EGM No. EGM Date Container No. Seal No. Error Message&#10;R627641011  2017-11-10 0.0.0.0  TRLU7601994  410141  N.A. "/>
        <s v="EGM No. EGM Date Container No. Seal No. Error Message&#10;R667661111  2017-11-11 0.0.0.0  TRHU1567894  409974  N.A. "/>
        <s v="EGM No. EGM Date Container No. Seal No. Error Message&#10;R827541011  2017-11-10 0.0.0.0  FSCU8189292  003299  N.A. "/>
        <s v="EGM No. EGM Date Container No. Seal No. Error Message&#10;TX207081311  2017-11-13 0.0.0.0  MSKU2352794  410286  N.A. "/>
        <s v="EGM No. EGM Date Container No. Seal No. Error Message&#10;T707501711  2017-11-17 0.0.0.0  TTNU9712600  410620  N.A. "/>
        <s v="EGM No. EGM Date Container No. Seal No. Error Message&#10;R627641011  2017-11-10 0.0.0.0  GESU5146944  410131  N.A. "/>
        <s v="EGM No. EGM Date Container No. Seal No. Error Message&#10;T257561711  2017-11-17 0.0.0.0  PALU5007291  410729  N.A. "/>
        <s v="EGM No. EGM Date Container No. Seal No. Error Message&#10;TX207081311  2017-11-13 0.0.0.0  MSCU6791570  410437  N.A. "/>
        <s v="EGM No. EGM Date Container No. Seal No. Error Message&#10;R587241511  2017-11-15 0.0.0.0  TCLU9716714  410189  N.A. "/>
        <s v="EGM No. EGM Date Container No. Seal No. Error Message&#10;R897621811  2017-11-18 0.0.0.0  MRKU3131266  410718  N.A. "/>
        <s v="EGM No. EGM Date Container No. Seal No. Error Message&#10;T707501711  2017-11-17 0.0.0.0  GRMU4200324  410683  N.A. "/>
        <s v="EGM No. EGM Date Container No. Seal No. Error Message&#10;R537902011  2017-11-20 0.0.0.0  FCIU8626623  411133  N.A. "/>
        <s v="EGM No. EGM Date Container No. Seal No. Error Message&#10;R687342211  2017-11-22 0.0.0.0  DFSU6722642  411424  N.A. "/>
        <s v="EGM No. EGM Date Container No. Seal No. Error Message&#10;R387640112  2017-12-1 0.0.0.0  BSIU2622058  4125002  N.A. "/>
        <s v="EGM No. EGM Date Container No. Seal No. Error Message&#10;R387640112  2017-12-1 0.0.0.0  BSIU2622058  412502  N.A. "/>
        <s v="EGM No. EGM Date Container No. Seal No. Error Message&#10;T847822511  2017-11-25 0.0.0.0  HJCU8397833  411554  N.A. "/>
        <s v="EGM No. EGM Date Container No. Seal No. Error Message&#10;R437503011  2017-11-30 0.0.0.0  TCNU9920746  411975  N.A. "/>
        <s v="EGM No. EGM Date Container No. Seal No. Error Message&#10;J167202811  2017-11-28 0.0.0.0  DFSU2200589  411827  N.A. "/>
        <s v="EGM No. EGM Date Container No. Seal No. Error Message&#10;R207722511  2017-11-25 0.0.0.0  MRSU3677223  411610  N.A. "/>
        <s v="EGM No. EGM Date Container No. Seal No. Error Message&#10;T847822511  2017-11-25 0.0.0.0  TCNU3363089  411483  N.A. "/>
        <s v="EGM No. EGM Date Container No. Seal No. Error Message&#10;T437060412  2017-12-4 0.0.0.0  KMTU7328622  412556  N.A. "/>
        <s v="EGM No. EGM Date Container No. Seal No. Error Message&#10;TX187402911  2017-11-29 0.0.0.0  TRLU7427748  411957  N.A. "/>
        <s v="EGM No. EGM Date Container No. Seal No. Error Message&#10;R627362911  2017-11-29 0.0.0.0  NYKU4799912  411945  N.A. "/>
        <s v="EGM No. EGM Date Container No. Seal No. Error Message&#10;R627362911  2017-11-29 0.0.0.0  BMOU6253517  411954  N.A. "/>
        <s v="EGM No. EGM Date Container No. Seal No. Error Message&#10;T967482311  2017-11-23 0.0.0.0  HASU1140092  003335  N.A. "/>
        <s v="EGM No. EGM Date Container No. Seal No. Error Message&#10;T857541412  2017-12-14 0.0.0.0  CAIU3489047  413637  N.A. "/>
        <s v="EGM No. EGM Date Container No. Seal No. Error Message&#10;J197640912  2017-12-9 0.0.0.0  NYKU3801471  413243  N.A. "/>
        <s v="EGM No. EGM Date Container No. Seal No. Error Message&#10;R627362911  2017-11-29 0.0.0.0  TRLU6853517  411953  N.A. "/>
        <s v="EGM No. EGM Date Container No. Seal No. Error Message&#10;R557523011  2017-11-30 0.0.0.0  TCNU9933281  412225  N.A. "/>
        <s v="EGM No. EGM Date Container No. Seal No. Error Message&#10;R337800212  2017-12-2 0.0.0.0  FCIU8321732  412535  N.A. "/>
        <s v="EGM No. EGM Date Container No. Seal No. Error Message&#10;R27220612  2017-12-6 0.0.0.0  ZCSU2713253  412560  N.A. "/>
        <s v="EGM No. EGM Date Container No. Seal No. Error Message&#10;J197640912  2017-12-9 0.0.0.0  TCKU1680074  413213  N.A. "/>
        <s v="EGM No. EGM Date Container No. Seal No. Error Message&#10;J167401312  2017-12-13 0.0.0.0  HLBU1738246  413562  N.A. "/>
        <s v="EGM No. EGM Date Container No. Seal No. Error Message&#10;J287881012  2017-12-10 0.0.0.0  GLDU7366712  413279  N.A. "/>
        <s v="EGM No. EGM Date Container No. Seal No. Error Message&#10;T417621512  2017-12-15 0.0.0.0  CLKU5008455  413649  N.A. "/>
        <s v="EGM No. EGM Date Container No. Seal No. Error Message&#10;R1237121212  2017-12-12 0.0.0.0  MXCU0013026  413549  N.A. "/>
        <s v="EGM No. EGM Date Container No. Seal No. Error Message&#10;J277400712  2017-12-7 0.0.0.0  CAIU9937278  412596  N.A. "/>
        <s v="EGM No. EGM Date Container No. Seal No. Error Message&#10;R1237200512  2017-12-5 0.0.0.0  DFSU2225340  412619  N.A. "/>
        <s v="EGM No. EGM Date Container No. Seal No. Error Message&#10;R577300612  2017-12-6 0.0.0.0  CMAU4390576  412582  N.A. "/>
        <s v="EGM No. EGM Date Container No. Seal No. Error Message&#10;T907240612  2017-12-6 0.0.0.0  HAMU1019978  001176  N.A. "/>
        <s v="EGM No. EGM Date Container No. Seal No. Error Message&#10;J277400712  2017-12-7 0.0.0.0  CAXU8229337  413201  N.A. "/>
        <s v="EGM No. EGM Date Container No. Seal No. Error Message&#10;J197640912  2017-12-9 0.0.0.0  VSTU9000091  413278  N.A. "/>
        <s v="EGM No. EGM Date Container No. Seal No. Error Message&#10;R957620812  2017-12-8 0.0.0.0  MRKU8210434  413245  N.A. "/>
        <s v="EGM No. EGM Date Container No. Seal No. Error Message&#10;J177821612  2017-12-16 0.0.0.0  TCNU9183314  414208  N.A. "/>
        <s v="EGM No. EGM Date Container No. Seal No. Error Message&#10;R27741512  2017-12-15 0.0.0.0  TGHU7862323  413688  N.A. "/>
        <s v="EGM No. EGM Date Container No. Seal No. Error Message&#10;J287881012  2017-12-10 0.0.0.0  GESU5079213  413264  N.A. "/>
        <s v="EGM No. EGM Date Container No. Seal No. Error Message&#10;R27741512  2017-12-15 0.0.0.0  TGHU7862323  3688  N.A. "/>
        <s v="EGM No. EGM Date Container No. Seal No. Error Message&#10;R577300612  2017-12-6 0.0.0.0  NYKU3913872  412767  N.A. "/>
        <s v="EGM No. EGM Date Container No. Seal No. Error Message&#10;R27741512  2017-12-15 0.0.0.0  TCNU5910694  413686  N.A. "/>
        <s v="EGM No. EGM Date Container No. Seal No. Error Message&#10;J197640912  2017-12-9 0.0.0.0  MRKU5656130  413256  N.A. "/>
        <s v="EGM No. EGM Date Container No. Seal No. Error Message&#10;R607421312  2017-12-13 0.0.0.0  BSIU2178771  413647  N.A. "/>
        <s v="EGM No. EGM Date Container No. Seal No. Error Message&#10;R267901612  2017-12-16 0.0.0.0  TCLU9304152  414201  N.A. "/>
        <s v="EGM No. EGM Date Container No. Seal No. Error Message&#10;T1007221212  2017-12-12 0.0.0.0  CRXU1571954  413346  N.A. "/>
        <s v="EGM No. EGM Date Container No. Seal No. Error Message&#10;TX187580812  2017-12-8 0.0.0.0  TGHU3089350  004585  N.A. "/>
        <s v="EGM No. EGM Date Container No. Seal No. Error Message&#10;R27402112  2017-12-21 0.0.0.0  BSIU2864848  414270  N.A. "/>
        <s v="EGM No. EGM Date Container No. Seal No. Error Message&#10;R397500812  2017-12-8 0.0.0.0  MSKU6199024  413024  N.A. "/>
        <s v="EGM No. EGM Date Container No. Seal No. Error Message&#10;R367181212  2017-12-12 0.0.0.0  NYKU9856126  004590  N.A. "/>
        <s v="EGM No. EGM Date Container No. Seal No. Error Message&#10;R367181212  2017-12-12 0.0.0.0  DFSU2493229  004598  N.A. "/>
        <s v="EGM No. EGM Date Container No. Seal No. Error Message&#10;T587862312  2017-12-23 0.0.0.0  DFSU6923539  414871  N.A. "/>
        <s v="EGM No. EGM Date Container No. Seal No. Error Message&#10;T587862312  2017-12-23 0.0.0.0  HDMU6838625  414844  N.A. "/>
        <s v="EGM No. EGM Date Container No. Seal No. Error Message&#10;T437141912  2017-12-19 0.0.0.0  HDMU2556351  414180  N.A. "/>
        <s v="EGM No. EGM Date Container No. Seal No. Error Message&#10;R707601512  2017-12-15 0.0.0.0  MSKU2961609  413471  N.A. "/>
        <s v="EGM No. EGM Date Container No. Seal No. Error Message&#10;T1007642212  2017-12-22 0.0.0.0  TEMU2032450  414817  N.A. "/>
        <s v="EGM No. EGM Date Container No. Seal No. Error Message&#10;R1577902412  2017-12-24 0.0.0.0  CNSU2048548  004601  N.A. "/>
        <s v="EGM No. EGM Date Container No. Seal No. Error Message&#10;R817941712  2017-12-17 0.0.0.0  HJMU1409260  413957  N.A. "/>
        <s v="EGM No. EGM Date Container No. Seal No. Error Message&#10;TX227101812  2017-12-18 0.0.0.0  CRSU1134340  414192  N.A. "/>
        <s v="EGM No. EGM Date Container No. Seal No. Error Message&#10;R637981712  2017-12-17 0.0.0.0  SLSU6170854  414243  N.A. "/>
        <s v="EGM No. EGM Date Container No. Seal No. Error Message&#10;TX227101812  2017-12-18 0.0.0.0  GRMU4200556  414416  N.A. "/>
        <s v="EGM No. EGM Date Container No. Seal No. Error Message&#10;R817941712  2017-12-17 0.0.0.0  MRKU8243150  000244  N.A. "/>
        <s v="EGM No. EGM Date Container No. Seal No. Error Message&#10;T1007642212  2017-12-22 0.0.0.0  DRYU9457048  414824  N.A. "/>
        <s v="EGM No. EGM Date Container No. Seal No. Error Message&#10;R567382012  2017-12-20 0.0.0.0  NYKU3824353  413896  N.A. "/>
        <s v="EGM No. EGM Date Container No. Seal No. Error Message&#10;R27741512  2017-12-15 0.0.0.0  OOLU9658411  413874  N.A. "/>
        <s v="EGM No. EGM Date Container No. Seal No. Error Message&#10;T587862312  2017-12-23 0.0.0.0  TGHU5214511  414880  N.A. "/>
        <s v="EGM No. EGM Date Container No. Seal No. Error Message&#10;T587862312  2017-12-23 0.0.0.0  INLU2203114  414865  N.A. "/>
        <s v="EGM No. EGM Date Container No. Seal No. Error Message&#10;R1977520401  2018-1-4 0.0.0.0  MRKU6416473  415872  N.A. "/>
        <s v="EGM No. EGM Date Container No. Seal No. Error Message&#10;T587862312  2017-12-23 0.0.0.0  INKU2342576  414883  N.A. "/>
        <s v="EGM No. EGM Date Container No. Seal No. Error Message&#10;R1577902412  2017-12-24 0.0.0.0  TCKU3848465  414969  N.A. "/>
        <s v="EGM No. EGM Date Container No. Seal No. Error Message&#10;T257700501  2018-1-5 0.0.0.0  FSCU8047472  415882  N.A. "/>
        <s v="EGM No. EGM Date Container No. Seal No. Error Message&#10;R557963112  2017-12-31 0.0.0.0  AMFU8791180  415489  N.A. "/>
        <s v="EGM No. EGM Date Container No. Seal No. Error Message&#10;R1267142512  2017-12-25 0.0.0.0  BSIU2789699  414845  N.A. "/>
        <s v="EGM No. EGM Date Container No. Seal No. Error Message&#10;T587862312  2017-12-23 0.0.0.0  CRXU9950466  414877  N.A. "/>
        <s v="EGM No. EGM Date Container No. Seal No. Error Message&#10;R947522112  2017-12-21 0.0.0.0  TCLU3403667  414754  N.A. "/>
        <s v="EGM No. EGM Date Container No. Seal No. Error Message&#10;J247462712  2017-12-27 0.0.0.0  TCKU3164098  415087  N.A. "/>
        <s v="EGM No. EGM Date Container No. Seal No. Error Message&#10;T987020101  2018-1-1 0.0.0.0  WHLU5123143  415820  N.A. "/>
        <s v="EGM No. EGM Date Container No. Seal No. Error Message&#10;R627622812  2017-12-28 0.0.0.0  TCNU6391417  415420  N.A. "/>
        <s v="EGM No. EGM Date Container No. Seal No. Error Message&#10;R427662812  2017-12-28 0.0.0.0  TCLU3881619  415438  N.A. "/>
        <s v="EGM No. EGM Date Container No. Seal No. Error Message&#10;T1007642212  2017-12-22 0.0.0.0  RFCU2268528  LYNK00542782  N.A. "/>
        <s v="EGM No. EGM Date Container No. Seal No. Error Message&#10;J247462712  2017-12-27 0.0.0.0  CAIU3885876  414651  N.A. "/>
        <s v="EGM No. EGM Date Container No. Seal No. Error Message&#10;Z17883012  2017-12-30 0.0.0.0  CRSU9314842  001894  N.A. "/>
        <s v="EGM No. EGM Date Container No. Seal No. Error Message&#10;R987702912  2017-12-29 0.0.0.0  HASU4458235  415458  N.A. "/>
        <s v="EGM No. EGM Date Container No. Seal No. Error Message&#10;R827422712  2017-12-27 0.0.0.0  TCKU3346030  LYNK00542784  N.A. "/>
        <s v="EGM No. EGM Date Container No. Seal No. Error Message&#10;Z17883012  2017-12-30 0.0.0.0  HDMU2472219  415642  N.A. "/>
        <s v="EGM No. EGM Date Container No. Seal No. Error Message&#10;R827422712  2017-12-27 0.0.0.0  PONU0253154  LYNK00564451  N.A. "/>
        <s v="EGM No. EGM Date Container No. Seal No. Error Message&#10;J477923112  2017-12-31 0.0.0.0  DFSU1161364  GEID00000171  N.A. "/>
        <s v="EGM No. EGM Date Container No. Seal No. Error Message&#10;R427662812  2017-12-28 0.0.0.0  TRLU7452102  415457  N.A. "/>
        <s v="EGM No. EGM Date Container No. Seal No. Error Message&#10;R1667320301  2018-1-3 0.0.0.0  SEGU4806945  416065  N.A. "/>
        <s v="EGM No. EGM Date Container No. Seal No. Error Message&#10;R1577680501  2018-1-5 0.0.0.0  TCNU9903836  416467  N.A. "/>
        <s v="EGM No. EGM Date Container No. Seal No. Error Message&#10;J187200201  2018-1-2 0.0.0.0  TRHU1718645  415796  N.A. "/>
        <s v="EGM No. EGM Date Container No. Seal No. Error Message&#10;J477923112  2017-12-31 0.0.0.0  CAIU2296399  GEID00000177  N.A. "/>
        <s v="EGM No. EGM Date Container No. Seal No. Error Message&#10;T987020101  2018-1-1 0.0.0.0  HJCU1719711  415025  N.A. "/>
        <s v="EGM No. EGM Date Container No. Seal No. Error Message&#10;T437021401  2018-1-14 0.0.0.0  TEMU0782559  417070  N.A. "/>
        <s v="EGM No. EGM Date Container No. Seal No. Error Message&#10;R1667320301  2018-1-3 0.0.0.0  SEGU4785903  001898  N.A. "/>
        <s v="EGM No. EGM Date Container No. Seal No. Error Message&#10;R1667320301  2018-1-3 0.0.0.0  TCNU7193524  001896  N.A. "/>
        <s v="EGM No. EGM Date Container No. Seal No. Error Message&#10;TX207260201  2018-1-2 0.0.0.0  HDMU2596246  GEID00000181  N.A. "/>
        <s v="EGM No. EGM Date Container No. Seal No. Error Message&#10;J477923112  2017-12-31 0.0.0.0  MSKU2326584  415287  N.A. "/>
        <s v="EGM No. EGM Date Container No. Seal No. Error Message&#10;R287920701  2018-1-7 0.0.0.0  BAXU5062245  416534  N.A. "/>
        <s v="EGM No. EGM Date Container No. Seal No. Error Message&#10;R937340301  2018-1-3 0.0.0.0  TCLU3282230  GEID00000186  N.A. "/>
        <s v="EGM No. EGM Date Container No. Seal No. Error Message&#10;T897341001  2018-1-10 0.0.0.0  HLXU8630693  416587  N.A. "/>
        <s v="EGM No. EGM Date Container No. Seal No. Error Message&#10;R1977520401  2018-1-4 0.0.0.0  TRLU7451153  415871  N.A. "/>
        <s v="EGM No. EGM Date Container No. Seal No. Error Message&#10;R1177860601  2018-1-6 0.0.0.0  CRSU1073564  416539  N.A. "/>
        <s v="EGM No. EGM Date Container No. Seal No. Error Message&#10;R127160801  2018-1-8 0.0.0.0  DFSU7698896  001899  N.A. "/>
        <s v="EGM No. EGM Date Container No. Seal No. Error Message&#10;R557701201  2018-1-12 0.0.0.0  BMOU6247406  416849  N.A. "/>
      </sharedItems>
    </cacheField>
    <cacheField name="ROSL" numFmtId="0">
      <sharedItems>
        <s v="ROSL Availed Amount(INR) Scroll Number Scroll Date&#10;N  0  ROSL NOT CLAIMED  ROSL NOT CLAIMED "/>
        <s v="ROSL Availed Amount(INR) Scroll Number Scroll Date&#10;NULL  NULL  NULL  NULL "/>
        <s v="ROSL Availed Amount(INR) Scroll Number Scroll Date&#10;Y  109868  25635/2017  2017-9-15 0.0.0.0 "/>
        <s v="ROSL Availed Amount(INR) Scroll Number Scroll Date&#10;Y  15758  25632/2017  2017-9-10 0.0.0.0 "/>
        <s v="Please Wait...."/>
        <s v="ROSL Availed Amount(INR) Scroll Number Scroll Date&#10;Y  9464  25934/2018  2018-3-20 0.0.0.0 "/>
        <s v="ROSL Availed Amount(INR) Scroll Number Scroll Date&#10;Y  73774  25637/2017  2017-9-20 0.0.0.0 "/>
        <s v="ROSL Availed Amount(INR) Scroll Number Scroll Date&#10;Y  205784  25635/2017  2017-9-15 0.0.0.0 "/>
        <s v="ROSL Availed Amount(INR) Scroll Number Scroll Date&#10;Y  200821  25635/2017  2017-9-15 0.0.0.0 "/>
        <s v="ROSL Availed Amount(INR) Scroll Number Scroll Date&#10;Y  187266  25635/2017  2017-9-15 0.0.0.0 "/>
        <s v="ROSL Availed Amount(INR) Scroll Number Scroll Date&#10;Y  172686  25635/2017  2017-9-15 0.0.0.0 "/>
        <s v="ROSL Availed Amount(INR) Scroll Number Scroll Date&#10;Y  207223  25635/2017  2017-9-15 0.0.0.0 "/>
        <s v="ROSL Availed Amount(INR) Scroll Number Scroll Date&#10;Y  5034  25637/2017  2017-9-20 0.0.0.0 "/>
        <s v="ROSL Availed Amount(INR) Scroll Number Scroll Date&#10;Y  207223  25637/2017  2017-9-20 0.0.0.0 "/>
        <s v="ROSL Availed Amount(INR) Scroll Number Scroll Date&#10;Y  205496  25637/2017  2017-9-20 0.0.0.0 "/>
        <s v="ROSL Availed Amount(INR) Scroll Number Scroll Date&#10;Y  7168  32661/2019  2019-2-8 0.0.0.0 "/>
        <s v="ROSL Availed Amount(INR) Scroll Number Scroll Date&#10;Y  189355  25637/2017  2017-9-20 0.0.0.0 "/>
        <s v="ROSL Availed Amount(INR) Scroll Number Scroll Date&#10;Y  183043  25637/2017  2017-9-20 0.0.0.0 "/>
        <s v="ROSL Availed Amount(INR) Scroll Number Scroll Date&#10;Y  14649  25835/2017  2017-10-15 0.0.0.0 "/>
        <s v="ROSL Availed Amount(INR) Scroll Number Scroll Date&#10;Y  129950  25851/2017  2017-11-10 0.0.0.0 "/>
        <s v="ROSL Availed Amount(INR) Scroll Number Scroll Date&#10;Y  134275  25851/2017  2017-11-10 0.0.0.0 "/>
        <s v="ROSL Availed Amount(INR) Scroll Number Scroll Date&#10;Y  132402  25851/2017  2017-11-10 0.0.0.0 "/>
        <s v="ROSL Availed Amount(INR) Scroll Number Scroll Date&#10;Y  86988  25844/2017  2017-10-31 0.0.0.0 "/>
        <s v="ROSL Availed Amount(INR) Scroll Number Scroll Date&#10;Y  4788  25934/2018  2018-3-20 0.0.0.0 "/>
        <s v="ROSL Availed Amount(INR) Scroll Number Scroll Date&#10;Y  7484  25863/2017  2017-11-20 0.0.0.0 "/>
        <s v="ROSL Availed Amount(INR) Scroll Number Scroll Date&#10;Y  3300  25863/2017  2017-11-20 0.0.0.0 "/>
        <s v="ROSL Availed Amount(INR) Scroll Number Scroll Date&#10;Y  70617  25870/2017  2017-11-30 0.0.0.0 "/>
        <s v="ROSL Availed Amount(INR) Scroll Number Scroll Date&#10;Y  68426  25875/2017  2017-12-10 0.0.0.0 "/>
        <s v="ROSL Availed Amount(INR) Scroll Number Scroll Date&#10;Y  31547  25875/2017  2017-12-10 0.0.0.0 "/>
        <s v="ROSL Availed Amount(INR) Scroll Number Scroll Date&#10;Y  3512  25875/2017  2017-12-10 0.0.0.0 "/>
        <s v="ROSL Availed Amount(INR) Scroll Number Scroll Date&#10;Y  3344  25875/2017  2017-12-10 0.0.0.0 "/>
        <s v="ROSL Availed Amount(INR) Scroll Number Scroll Date&#10;Y  26390  25879/2017  2017-12-20 0.0.0.0 "/>
        <s v="ROSL Availed Amount(INR) Scroll Number Scroll Date&#10;Y  2114  25879/2017  2017-12-20 0.0.0.0 "/>
        <s v="ROSL Availed Amount(INR) Scroll Number Scroll Date&#10;Y  0  YET TO BE GENERATED  YET TO BE GENERATED "/>
        <s v="ROSL Availed Amount(INR) Scroll Number Scroll Date&#10;Y  3082  25879/2017  2017-12-20 0.0.0.0 "/>
        <s v="ROSL Availed Amount(INR) Scroll Number Scroll Date&#10;Y  1564  25879/2017  2017-12-20 0.0.0.0 "/>
        <s v="ROSL Availed Amount(INR) Scroll Number Scroll Date&#10;Y  23075  28259/2018  2018-6-15 0.0.0.0 "/>
      </sharedItems>
    </cacheField>
    <cacheField name="GST" numFmtId="0">
      <sharedItems>
        <s v="GSTIN    -    06AXXXXXXXXC1ZH&#10;Invoice Number Invoice Date IGST Paid(INR)&#10;XXXXXXXX-18  2017-06-30  24756 "/>
        <s v="GSTIN    -    06AXXXXXXXXC1ZH&#10;Invoice Number Invoice Date IGST Paid(INR)&#10;XXXXXXXX-18  2017-06-30  7128 "/>
        <s v="GSTIN    -    07AXXXXXXXXM1Z2&#10;Invoice Number Invoice Date IGST Paid(INR)&#10;XXXXXXXXXXX-18  2017-07-04  119771 "/>
        <s v="GSTIN    -    06AXXXXXXXXJ1ZG&#10;Invoice Number Invoice Date IGST Paid(INR)&#10;XXXXXXXXXXX142  2017-07-24  48384 "/>
        <s v="GSTIN    -    06AXXXXXXXXH1ZO&#10;Invoice Number Invoice Date IGST Paid(INR)&#10;XXXXXXXXXXXX-18  2017-07-17  149412 "/>
        <s v="GSTIN    -    09AXXXXXXXXC1Z4&#10;Invoice Number Invoice Date IGST Paid(INR)&#10;XXXXXXXXXXXXXX-18  2017-07-13  433793 "/>
        <s v="GSTIN    -    06AXXXXXXXXL1ZE&#10;Invoice Number Invoice Date IGST Paid(INR)&#10;XXXXX/16  2017-07-27  145084 "/>
        <s v="GSTIN    -    06AXXXXXXXXH2ZJ&#10;Invoice Number Invoice Date IGST Paid(INR)&#10;XXXXXXXXX/18  2017-07-18  26869 "/>
        <s v="GSTIN    -    06AXXXXXXXXH1ZO&#10;Invoice Number Invoice Date IGST Paid(INR)&#10;XXXXXXXXXXXX-18  2017-07-25  79964 "/>
        <s v="GSTIN    -    06AXXXXXXXXH1ZO&#10;Invoice Number Invoice Date IGST Paid(INR)&#10;XXXXXXXXXXXX-18  2017-07-25  690600 "/>
        <s v="GSTIN    -    06AXXXXXXXXH1ZO&#10;Invoice Number Invoice Date IGST Paid(INR)&#10;XXXXXXXXXXXX-18  2017-07-25  1437149 "/>
        <s v="GSTIN    -    07DXXXXXXXXB1ZH&#10;Invoice Number Invoice Date IGST Paid(INR)&#10;XXXXXXXXX/01  2017-07-24  354254 "/>
        <s v="GSTIN    -    06AXXXXXXXXK1ZT&#10;Invoice Number Invoice Date IGST Paid(INR)&#10;XXXXXXXXXXXX002  2017-07-24  129600 "/>
        <s v="GSTIN    -    06AXXXXXXXXK1Z7&#10;Invoice Number Invoice Date IGST Paid(INR)&#10;006  2017-07-27  647383 "/>
        <s v="GSTIN    -    06AXXXXXXXXQ1ZC&#10;Invoice Number Invoice Date IGST Paid(INR)&#10;XXXXXXXXXXX/09  2017-07-29  249841 "/>
        <s v="GSTIN    -    09AXXXXXXXXC2Z0&#10;Invoice Number Invoice Date IGST Paid(INR)&#10;XXXXXXXXXXXXXX7-1  2017-07-10  53663 "/>
        <s v="GSTIN    -    07AXXXXXXXXE1Z5&#10;Invoice Number Invoice Date IGST Paid(INR)&#10;681  2017-07-22  78589 "/>
        <s v="GSTIN    -    08AXXXXXXXXR1ZR&#10;Invoice Number Invoice Date IGST Paid(INR)&#10;XXXXXXXXXXXXXX078  2017-07-24  1961181 "/>
        <s v="GSTIN    -    07AXXXXXXXXQ1ZK&#10;Invoice Number Invoice Date IGST Paid(INR)&#10;X/26  2017-07-31  35661 "/>
        <s v="GSTIN    -    06AXXXXXXXXG1ZX&#10;Invoice Number Invoice Date IGST Paid(INR)&#10;XXXXXXXXXXXXXX001  2017-07-28  14574 "/>
        <s v="GSTIN    -    07AXXXXXXXXF1Z8&#10;Invoice Number Invoice Date IGST Paid(INR)&#10;XXXXXX001  2017-08-01  167681 "/>
        <s v="GSTIN    -    09AXXXXXXXXK2ZT&#10;Invoice Number Invoice Date IGST Paid(INR)&#10;37  2017-07-31  25718 "/>
        <s v="GSTIN    -    07AXXXXXXXXM1ZP&#10;Invoice Number Invoice Date IGST Paid(INR)&#10;XXXX265  2017-08-01  16847 "/>
        <s v="GSTIN    -    07AXXXXXXXXL1ZI&#10;Invoice Number Invoice Date IGST Paid(INR)&#10;XXXXXXX017  2017-07-03  66431 "/>
        <s v="GSTIN    -    09AXXXXXXXXC1Z4&#10;Invoice Number Invoice Date IGST Paid(INR)&#10;XXXXXXXXXXXXXX-18  2017-07-15  310271 "/>
        <s v="GSTIN    -    09AXXXXXXXXC1Z4&#10;Invoice Number Invoice Date IGST Paid(INR)&#10;XXXXXXXXXXXXXX-18  2017-07-15  436205 "/>
        <s v="GSTIN    -    09AXXXXXXXXC1ZR&#10;Invoice Number Invoice Date IGST Paid(INR)&#10;62  2017-07-31  293987 "/>
        <s v="GSTIN    -    07AXXXXXXXXA1ZA&#10;Invoice Number Invoice Date IGST Paid(INR)&#10;XXXXXXXXXX-18  2017-07-25  5502 "/>
        <s v="GSTIN    -    08AXXXXXXXXR1Z1&#10;Invoice Number Invoice Date IGST Paid(INR)&#10;XXXXXXXXXXXXXX008  2017-07-31  112585 "/>
        <s v="GSTIN    -    07AXXXXXXXXR1ZH&#10;Invoice Number Invoice Date IGST Paid(INR)&#10;XXXXXXXXXX018  2017-07-27  135238 "/>
        <s v="GSTIN    -    06AXXXXXXXXR2ZO&#10;Invoice Number Invoice Date IGST Paid(INR)&#10;XXXXXXXXXXXXX/17  2017-08-01  53596 "/>
        <s v="GSTIN    -    07AXXXXXXXXK1ZB&#10;Invoice Number Invoice Date IGST Paid(INR)&#10;XXXXXXXXXX-18  2017-08-03  28865 "/>
        <s v="GSTIN    -    06AXXXXXXXXE4ZU&#10;Invoice Number Invoice Date IGST Paid(INR)&#10;XXXXXXXXXXXXXX-18  2017-08-01  3268108 "/>
        <s v="GSTIN    -    07AXXXXXXXXE1ZF&#10;Invoice Number Invoice Date IGST Paid(INR)&#10;XXX006  2017-07-29  28099 "/>
        <s v="GSTIN    -    06AXXXXXXXXA1Z5&#10;Invoice Number Invoice Date IGST Paid(INR)&#10;XXXXXXX-18  2017-07-11  49321 "/>
        <s v="GSTIN    -    07AXXXXXXXXL1ZH&#10;Invoice Number Invoice Date IGST Paid(INR)&#10;006  2017-08-03  71889 "/>
        <s v="GSTIN    -    07AXXXXXXXXA1ZL&#10;Invoice Number Invoice Date IGST Paid(INR)&#10;53  2017-07-31  141585 "/>
        <s v="GSTIN    -    09AXXXXXXXXF1ZI&#10;Invoice Number Invoice Date IGST Paid(INR)&#10;XXXXX000  2017-07-28  10105 "/>
        <s v="GSTIN    -    06AXXXXXXXXE4ZU&#10;Invoice Number Invoice Date IGST Paid(INR)&#10;XXXXXXXXXXXXXX-18  2017-08-01  74016 "/>
        <s v="GSTIN    -    07AXXXXXXXXH1ZR&#10;Invoice Number Invoice Date IGST Paid(INR)&#10;XXXXXXXXXXX002  2017-08-05  604113 "/>
        <s v="GSTIN    -    07AXXXXXXXXG1ZH&#10;Invoice Number Invoice Date IGST Paid(INR)&#10;007  2017-08-01  160973 "/>
        <s v="GSTIN    -    07AXXXXXXXXR1ZM&#10;Invoice Number Invoice Date IGST Paid(INR)&#10;X105  2017-08-01  8292 "/>
        <s v="GSTIN    -    07AXXXXXXXXG1ZP&#10;Invoice Number Invoice Date IGST Paid(INR)&#10;X189  2017-08-07  199238 &#10;X190  2017-08-07  14244 "/>
        <s v="GSTIN    -    06AXXXXXXXXJ1ZI&#10;Invoice Number Invoice Date IGST Paid(INR)&#10;XXXXXXXXXXXX018  2017-08-08  88693 "/>
        <s v="GSTIN    -    07AXXXXXXXXF1Z6&#10;Invoice Number Invoice Date IGST Paid(INR)&#10;XXXX613  2017-08-02  105585 "/>
        <s v="GSTIN    -    07AXXXXXXXXR1ZF&#10;Invoice Number Invoice Date IGST Paid(INR)&#10;XXXXXXXXXXX010  2017-07-31  35910 "/>
        <s v="GSTIN    -    03AXXXXXXXXL1Z0&#10;Invoice Number Invoice Date IGST Paid(INR)&#10;XXXX736  2017-08-09  111367 "/>
        <s v="GSTIN    -    07AXXXXXXXXC1Z8&#10;Invoice Number Invoice Date IGST Paid(INR)&#10;XXX-75  2017-08-08  784898 "/>
        <s v="GSTIN    -    06AXXXXXXXXR1ZC&#10;Invoice Number Invoice Date IGST Paid(INR)&#10;XXX/01  2017-07-28  187353 "/>
        <s v="GSTIN    -    06AXXXXXXXXF1Z5&#10;Invoice Number Invoice Date IGST Paid(INR)&#10;XXXXXXXXXXXXX040  2017-08-09  30806 "/>
        <s v="GSTIN    -    06AXXXXXXXXR2ZO&#10;Invoice Number Invoice Date IGST Paid(INR)&#10;XXXXXXXXXXXXX/17  2017-08-10  53047 "/>
        <s v="GSTIN    -    07AXXXXXXXXH1ZD&#10;Invoice Number Invoice Date IGST Paid(INR)&#10;XXXXXXXXXXXXX-18  2017-08-09  179147 "/>
        <s v="GSTIN    -    07AXXXXXXXXA1Z1&#10;Invoice Number Invoice Date IGST Paid(INR)&#10;XXXXXXXXXXXXXX-18  2017-08-10  70173 "/>
        <s v="GSTIN    -    07AXXXXXXXXP1Z3&#10;Invoice Number Invoice Date IGST Paid(INR)&#10;XXXXXXX006  2017-08-08  32141 "/>
        <s v="GSTIN    -    07AXXXXXXXXD1ZA&#10;Invoice Number Invoice Date IGST Paid(INR)&#10;XXXX008  2017-08-08  53730 "/>
        <s v="GSTIN    -    06AXXXXXXXXR2ZO&#10;Invoice Number Invoice Date IGST Paid(INR)&#10;XXXXXXXXXXXXX/17  2017-08-11  53047 "/>
        <s v="GSTIN    -    07AXXXXXXXXM1Z2&#10;Invoice Number Invoice Date IGST Paid(INR)&#10;35  2017-08-04  44565 "/>
        <s v="GSTIN    -    09AXXXXXXXXE1ZL&#10;Invoice Number Invoice Date IGST Paid(INR)&#10;XXXXXXXX020  2017-08-08  280688 "/>
        <s v="GSTIN    -    27AXXXXXXXXN1Z4&#10;Invoice Number Invoice Date IGST Paid(INR)&#10;XXXXX042  2017-08-09  5030 "/>
        <s v="GSTIN    -    07AXXXXXXXXE1ZF&#10;Invoice Number Invoice Date IGST Paid(INR)&#10;XXXXXXXX017  2017-08-08  27598 "/>
        <s v="GSTIN    -    07AXXXXXXXXP1Z5&#10;Invoice Number Invoice Date IGST Paid(INR)&#10;XXXXXXXXXXX/17  2017-08-10  45056 "/>
        <s v="GSTIN    -    07BXXXXXXXXH1ZS&#10;Invoice Number Invoice Date IGST Paid(INR)&#10;XXXXXXXXXXXXXX004  2017-08-10  96798 "/>
        <s v="GSTIN    -    07AXXXXXXXXH1Z4&#10;Invoice Number Invoice Date IGST Paid(INR)&#10;XXXX002  2017-08-02  28671 "/>
        <s v="GSTIN    -    07AXXXXXXXXF2ZV&#10;Invoice Number Invoice Date IGST Paid(INR)&#10;XXXXXXXXXXXXXXX06  2017-08-10  67373 "/>
        <s v="GSTIN    -    07AXXXXXXXXK1ZB&#10;Invoice Number Invoice Date IGST Paid(INR)&#10;XXXXXXXXX-18  2017-08-16  6059 "/>
        <s v="GSTIN    -    06AXXXXXXXXK1ZT&#10;Invoice Number Invoice Date IGST Paid(INR)&#10;XXXXXXXXXXXXXX502  2017-08-11  127960 "/>
        <s v="GSTIN    -    07AXXXXXXXXK1ZB&#10;Invoice Number Invoice Date IGST Paid(INR)&#10;XXXXXXXXX-18  2017-08-17  23380 "/>
        <s v="GSTIN    -    07AXXXXXXXXA1ZV&#10;Invoice Number Invoice Date IGST Paid(INR)&#10;XXXX082  2017-07-31  14173 "/>
        <s v="GSTIN    -    09AXXXXXXXXG1ZF&#10;Invoice Number Invoice Date IGST Paid(INR)&#10;XXXXXXXXXXXXXX004  2017-08-17  31224 "/>
        <s v="GSTIN    -    07AXXXXXXXXA1ZN&#10;Invoice Number Invoice Date IGST Paid(INR)&#10;XXXXXX-18  2017-08-01  38967 "/>
        <s v="GSTIN    -    07AXXXXXXXXJ1ZV&#10;Invoice Number Invoice Date IGST Paid(INR)&#10;XXXXXXXXXXXXXX/17  2017-08-12  45043 "/>
        <s v="GSTIN    -    09AXXXXXXXXJ1Z6&#10;Invoice Number Invoice Date IGST Paid(INR)&#10;XXXXXXXXXXX018  2017-08-10  243149 "/>
        <s v="GSTIN    -    07AXXXXXXXXG1ZH&#10;Invoice Number Invoice Date IGST Paid(INR)&#10;XXXXXXX/17  2017-08-16  67654 "/>
        <s v="GSTIN    -    06AXXXXXXXXM1ZZ&#10;Invoice Number Invoice Date IGST Paid(INR)&#10;043  2017-08-10  14655 "/>
        <s v="GSTIN    -    06AXXXXXXXXR1ZB&#10;Invoice Number Invoice Date IGST Paid(INR)&#10;05  2017-08-05  265896 "/>
        <s v="GSTIN    -    07AXXXXXXXXF1Z0&#10;Invoice Number Invoice Date IGST Paid(INR)&#10;XXXXXXXXX-18  2017-08-18  62986 "/>
        <s v="GSTIN    -    09AXXXXXXXXP2ZF&#10;Invoice Number Invoice Date IGST Paid(INR)&#10;XXXXXXXXX/16  2017-08-17  54751 "/>
        <s v="GSTIN    -    06AXXXXXXXXE4ZU&#10;Invoice Number Invoice Date IGST Paid(INR)&#10;XXXXXXXXXXXXXX718  2017-08-16  53456 "/>
        <s v="GSTIN    -    06AXXXXXXXXN1Z9&#10;Invoice Number Invoice Date IGST Paid(INR)&#10;XXXXXXXX-18  2017-08-21  43227 "/>
        <s v="GSTIN    -    06AXXXXXXXXQ1ZQ&#10;Invoice Number Invoice Date IGST Paid(INR)&#10;XXXXXXXXXXXX003  2017-08-18  285450 "/>
        <s v="GSTIN    -    06AXXXXXXXXQ1ZQ&#10;Invoice Number Invoice Date IGST Paid(INR)&#10;XXXXXXXXXXXX004  2017-08-18  139269 "/>
        <s v="GSTIN    -    07AXXXXXXXXB1ZR&#10;Invoice Number Invoice Date IGST Paid(INR)&#10;XXXXXXXXX-18  2017-08-12  371424 "/>
        <s v="GSTIN    -    07AXXXXXXXXB1ZR&#10;Invoice Number Invoice Date IGST Paid(INR)&#10;XXXXXXXXX-18  2017-08-19  152387 "/>
        <s v="GSTIN    -    06AXXXXXXXXJ2ZR&#10;Invoice Number Invoice Date IGST Paid(INR)&#10;XXXXX-18  2017-08-21  45511 "/>
        <s v="GSTIN    -    27AXXXXXXXXR1ZF&#10;Invoice Number Invoice Date IGST Paid(INR)&#10;XXXXXXXXXXXX-18  2017-08-07  19042 "/>
        <s v="GSTIN    -    06AXXXXXXXXD1ZM&#10;Invoice Number Invoice Date IGST Paid(INR)&#10;XXX-02  2017-08-22  54305 "/>
        <s v="GSTIN    -    06AXXXXXXXXJ1ZG&#10;Invoice Number Invoice Date IGST Paid(INR)&#10;XXXXXXXXXX177  2017-08-22  190911 "/>
        <s v="GSTIN    -    07AXXXXXXXXB1ZS&#10;Invoice Number Invoice Date IGST Paid(INR)&#10;XXXXXXX017  2017-08-10  81770 "/>
        <s v="GSTIN    -    06AXXXXXXXXC1ZF&#10;Invoice Number Invoice Date IGST Paid(INR)&#10;960  2017-08-22  471225 "/>
        <s v="GSTIN    -    07AXXXXXXXXK1ZW&#10;Invoice Number Invoice Date IGST Paid(INR)&#10;XXXXXXXXXXXX-36  2017-08-21  4344 "/>
        <s v="GSTIN    -    07AXXXXXXXXC1Z8&#10;Invoice Number Invoice Date IGST Paid(INR)&#10;XXI65  2017-08-03  3897 "/>
        <s v="GSTIN    -    07AXXXXXXXXP1ZU&#10;Invoice Number Invoice Date IGST Paid(INR)&#10;XXXXXXXXXXX-18  2017-08-23  1499760 "/>
        <s v="GSTIN    -    07AXXXXXXXXB1ZP&#10;Invoice Number Invoice Date IGST Paid(INR)&#10;XXXXXX/17  2017-01-08  251223 "/>
        <s v="GSTIN    -    07AXXXXXXXXK1ZY&#10;Invoice Number Invoice Date IGST Paid(INR)&#10;XXXXXXXX018  2017-08-16  42581 "/>
        <s v="GSTIN    -    07AXXXXXXXXP3ZI&#10;Invoice Number Invoice Date IGST Paid(INR)&#10;XXXXXXXXXXXXXX-18  2017-07-25  17522 "/>
        <s v="GSTIN    -    09AXXXXXXXXC1ZH&#10;Invoice Number Invoice Date IGST Paid(INR)&#10;047  2017-08-21  75492 "/>
        <s v="GSTIN    -    07AXXXXXXXXL1ZD&#10;Invoice Number Invoice Date IGST Paid(INR)&#10;XXXXXXXXX017  2017-06-28  240204 "/>
        <s v="GSTIN    -    07AXXXXXXXXA1Z5&#10;Invoice Number Invoice Date IGST Paid(INR)&#10;XXXXXXXXXXXXX018  2017-08-22  342972 "/>
        <s v="GSTIN    -    07AXXXXXXXXA1Z5&#10;Invoice Number Invoice Date IGST Paid(INR)&#10;XXXXXXXXXXXXX018  2017-08-23  334701 "/>
        <s v="GSTIN    -    07AXXXXXXXXA1Z5&#10;Invoice Number Invoice Date IGST Paid(INR)&#10;XXXXXXXXXXXXX018  2017-08-23  312107 "/>
        <s v="GSTIN    -    07AXXXXXXXXC1ZP&#10;Invoice Number Invoice Date IGST Paid(INR)&#10;XXXXXXXXXXXXXX003  2017-08-24  130572 "/>
        <s v="GSTIN    -    08AXXXXXXXXR1Z1&#10;Invoice Number Invoice Date IGST Paid(INR)&#10;XXXXXXXXXXXXXX010  2017-08-25  112496 "/>
        <s v="GSTIN    -    06AXXXXXXXXE1ZX&#10;Invoice Number Invoice Date IGST Paid(INR)&#10;XXXXXXXXXXXXXX-18  2017-08-25  226605 "/>
        <s v="GSTIN    -    07AXXXXXXXXA1Z9&#10;Invoice Number Invoice Date IGST Paid(INR)&#10;XXXXXXXXXXXXX-18  2017-08-28  287808 "/>
        <s v="GSTIN    -    07AXXXXXXXXG1Z3&#10;Invoice Number Invoice Date IGST Paid(INR)&#10;XXXXXXXXXXXXX018  2017-08-28  345370 "/>
        <s v="GSTIN    -    09AXXXXXXXXG1Z5&#10;Invoice Number Invoice Date IGST Paid(INR)&#10;XXXXX931  2017-08-26  1880086 "/>
        <s v="GSTIN    -    09AXXXXXXXXJ1Z6&#10;Invoice Number Invoice Date IGST Paid(INR)&#10;XXXXXXXXXXX018  2017-08-26  306522 "/>
        <s v="GSTIN    -    06AXXXXXXXXK1ZV&#10;Invoice Number Invoice Date IGST Paid(INR)&#10;XXXXXXXXXX070  2017-08-23  40091 &#10;XXXXXXXXXX071  2017-08-23  54341 "/>
        <s v="GSTIN    -    24AXXXXXXXXA1ZY&#10;Invoice Number Invoice Date IGST Paid(INR)&#10;23  2017-08-28  17510 "/>
        <s v="GSTIN    -    06AXXXXXXXXH1ZU&#10;Invoice Number Invoice Date IGST Paid(INR)&#10;XXXXXXXXXX-18  2017-08-29  129559 "/>
        <s v="GSTIN    -    08AXXXXXXXXR1ZR&#10;Invoice Number Invoice Date IGST Paid(INR)&#10;XXXXXXXXXXXXX113  2017-08-28  390656 "/>
        <s v="GSTIN    -    07AXXXXXXXXH1ZZ&#10;Invoice Number Invoice Date IGST Paid(INR)&#10;XXXXXXXX154  2017-08-11  12420 "/>
        <s v="GSTIN    -    06AXXXXXXXXE4ZU&#10;Invoice Number Invoice Date IGST Paid(INR)&#10;XXXXXXXXXXXXXX-18  2017-08-26  543895 "/>
        <s v="GSTIN    -    07AXXXXXXXXK1Z3&#10;Invoice Number Invoice Date IGST Paid(INR)&#10;XXXXXXX010  2017-08-30  122178 "/>
        <s v="GSTIN    -    07AXXXXXXXXB1ZR&#10;Invoice Number Invoice Date IGST Paid(INR)&#10;XXXXXXXXX/18  2017-08-30  925056 "/>
        <s v="GSTIN    -    07AXXXXXXXXP3ZI&#10;Invoice Number Invoice Date IGST Paid(INR)&#10;XXXXXXXXXXXXXX-18  2017-08-10  7809 "/>
        <s v="GSTIN    -    09AXXXXXXXXD2Z7&#10;Invoice Number Invoice Date IGST Paid(INR)&#10;XXXXXXXX-18  2017-08-08  2073 "/>
        <s v="GSTIN    -    07AXXXXXXXXL1ZB&#10;Invoice Number Invoice Date IGST Paid(INR)&#10;XXXXXXXXXXX017  2017-08-28  213152 "/>
        <s v="GSTIN    -    07AXXXXXXXXD1ZG&#10;Invoice Number Invoice Date IGST Paid(INR)&#10;XXXXXXXXXX/18  2017-08-25  23374 "/>
        <s v="GSTIN    -    08AXXXXXXXXR1ZR&#10;Invoice Number Invoice Date IGST Paid(INR)&#10;XXXXXXXXXXXXXX115  2017-08-30  3925803 "/>
        <s v="GSTIN    -    06AXXXXXXXXQ1ZK&#10;Invoice Number Invoice Date IGST Paid(INR)&#10;XXXX868  2017-08-21  33918 "/>
        <s v="GSTIN    -    07AXXXXXXXXF1Z0&#10;Invoice Number Invoice Date IGST Paid(INR)&#10;XXXXXXXXX-18  2017-09-01  103520 "/>
        <s v="GSTIN    -    27AXXXXXXXXE1ZE&#10;Invoice Number Invoice Date IGST Paid(INR)&#10;XXXXXXXX-18  2017-08-24  303975 "/>
        <s v="GSTIN    -    07AXXXXXXXXB1ZS&#10;Invoice Number Invoice Date IGST Paid(INR)&#10;XXXXXXX017  2017-08-31  96678 "/>
        <s v="GSTIN    -    08AXXXXXXXXF1ZL&#10;Invoice Number Invoice Date IGST Paid(INR)&#10;XXXXXXX-18  2017-08-29  72207 "/>
        <s v="GSTIN    -    07AXXXXXXXXA1Z5&#10;Invoice Number Invoice Date IGST Paid(INR)&#10;XXXXXXXXXXXXX018  2017-09-04  345370 "/>
        <s v="GSTIN    -    07AXXXXXXXXD1ZS&#10;Invoice Number Invoice Date IGST Paid(INR)&#10;XXXXXXXXXXXXX018  2017-09-04  342492 "/>
        <s v="GSTIN    -    09BXXXXXXXXJ1ZL&#10;Invoice Number Invoice Date IGST Paid(INR)&#10;XXXXXXXXX018  2017-08-28  15226 "/>
        <s v="GSTIN    -    07BXXXXXXXXB1Z1&#10;Invoice Number Invoice Date IGST Paid(INR)&#10;XXXXXXXXXXXXXX-18  2017-09-01  55614 "/>
        <s v="GSTIN    -    07AXXXXXXXXB1ZM&#10;Invoice Number Invoice Date IGST Paid(INR)&#10;XXXXXXXXXX/05  2017-09-05  50021 "/>
        <s v="GSTIN    -    06AXXXXXXXXE4ZU&#10;Invoice Number Invoice Date IGST Paid(INR)&#10;XXXXXXXXXXXXXX017  2017-08-29  659169 "/>
        <s v="GSTIN    -    07AXXXXXXXXN1ZK&#10;Invoice Number Invoice Date IGST Paid(INR)&#10;XXXXXXXXXXXXXX-18  2017-09-04  145607 "/>
        <s v="GSTIN    -    06AXXXXXXXXJ1ZG&#10;Invoice Number Invoice Date IGST Paid(INR)&#10;XXXX009  2017-08-28  115686 "/>
        <s v="GSTIN    -    09AXXXXXXXXP2ZF&#10;Invoice Number Invoice Date IGST Paid(INR)&#10;XXXXXXXXX/17  2017-08-26  36232 "/>
        <s v="GSTIN    -    09AXXXXXXXXJ1Z6&#10;Invoice Number Invoice Date IGST Paid(INR)&#10;XXXXXXXXXXX018  2017-09-04  146655 "/>
        <s v="GSTIN    -    09AXXXXXXXXA1ZJ&#10;Invoice Number Invoice Date IGST Paid(INR)&#10;XXXXXXXXXXXXXX8/2  2017-08-10  96485 "/>
        <s v="GSTIN    -    09AXXXXXXXXB1ZS&#10;Invoice Number Invoice Date IGST Paid(INR)&#10;XXXXXXXXXXX-18  2017-08-28  13952 "/>
        <s v="GSTIN    -    07AXXXXXXXXP1ZN&#10;Invoice Number Invoice Date IGST Paid(INR)&#10;XXXXXXXXXXX-18  2017-09-06  196598 "/>
        <s v="GSTIN    -    06AXXXXXXXXN1ZC&#10;Invoice Number Invoice Date IGST Paid(INR)&#10;XXXXXXXX005  2017-09-06  20576 "/>
        <s v="GSTIN    -    03AXXXXXXXXP1ZK&#10;Invoice Number Invoice Date IGST Paid(INR)&#10;XE/2  2017-09-06  42767 "/>
        <s v="GSTIN    -    06AXXXXXXXXR1ZU&#10;Invoice Number Invoice Date IGST Paid(INR)&#10;XXXXXXXXXXXXXX-18  2017-09-06  126045 "/>
        <s v="GSTIN    -    09AXXXXXXXXP1ZN&#10;Invoice Number Invoice Date IGST Paid(INR)&#10;XX/04  2017-09-08  41022 "/>
        <s v="GSTIN    -    27AXXXXXXXXR1ZF&#10;Invoice Number Invoice Date IGST Paid(INR)&#10;XXXXXXXXXXXX-18  2017-09-04  8950 "/>
        <s v="GSTIN    -    06AXXXXXXXXM1ZZ&#10;Invoice Number Invoice Date IGST Paid(INR)&#10;045  2017-08-17  168843 "/>
        <s v="GSTIN    -    07AXXXXXXXXM1ZZ&#10;Invoice Number Invoice Date IGST Paid(INR)&#10;XXXXXXXXXXXXXX-18  2017-09-04  53296 "/>
        <s v="GSTIN    -    06AXXXXXXXXR2ZO&#10;Invoice Number Invoice Date IGST Paid(INR)&#10;XXXXXXXXXXXXXXP80  2017-09-11  106770 "/>
        <s v="GSTIN    -    07AXXXXXXXXB1ZM&#10;Invoice Number Invoice Date IGST Paid(INR)&#10;XXXXXXXXXX/06  2017-09-11  24505 "/>
        <s v="GSTIN    -    07AXXXXXXXXK1ZF&#10;Invoice Number Invoice Date IGST Paid(INR)&#10;10  2017-09-11  120960 "/>
        <s v="GSTIN    -    08AXXXXXXXXR1ZP&#10;Invoice Number Invoice Date IGST Paid(INR)&#10;XXXXXX-24  2017-09-05  322355 "/>
        <s v="GSTIN    -    07AXXXXXXXXC1ZB&#10;Invoice Number Invoice Date IGST Paid(INR)&#10;XXXXXXXXXXXRTS  2017-09-06  28364 "/>
        <s v="GSTIN    -    09AXXXXXXXXA1Z8&#10;Invoice Number Invoice Date IGST Paid(INR)&#10;02  2017-09-11  20794 "/>
        <s v="GSTIN    -    06AXXXXXXXXD1Z8&#10;Invoice Number Invoice Date IGST Paid(INR)&#10;XXXXXXXXXXXXXX030  2017-09-11  341891 "/>
        <s v="GSTIN    -    07AXXXXXXXXC1ZV&#10;Invoice Number Invoice Date IGST Paid(INR)&#10;XXXXXXXXXXXXX018  2017-09-11  315592 "/>
        <s v="GSTIN    -    07AXXXXXXXXC1ZV&#10;Invoice Number Invoice Date IGST Paid(INR)&#10;XXXXXXXXXXXXX018  2017-09-11  305072 "/>
        <s v="GSTIN    -    07AXXXXXXXXB1ZR&#10;Invoice Number Invoice Date IGST Paid(INR)&#10;XXXXXXXXX-18  2017-09-12  946804 "/>
        <s v="GSTIN    -    06AXXXXXXXXB1ZW&#10;Invoice Number Invoice Date IGST Paid(INR)&#10;XXXXXX338  2017-09-12  5036 "/>
        <s v="GSTIN    -    07AXXXXXXXXL1ZI&#10;Invoice Number Invoice Date IGST Paid(INR)&#10;XXXXXXXXXXXX/33  2017-09-06  171626 "/>
        <s v="GSTIN    -    07AXXXXXXXXF1ZR&#10;Invoice Number Invoice Date IGST Paid(INR)&#10;XXXXXXXXXXXX057  2017-09-12  25270 "/>
        <s v="GSTIN    -    05AXXXXXXXXJ1ZY&#10;Invoice Number Invoice Date IGST Paid(INR)&#10;002  2017-09-12  81316 "/>
        <s v="GSTIN    -    06AXXXXXXXXG1ZF&#10;Invoice Number Invoice Date IGST Paid(INR)&#10;XXXX508  2017-09-11  24898 "/>
        <s v="GSTIN    -    07AXXXXXXXXR1ZX&#10;Invoice Number Invoice Date IGST Paid(INR)&#10;XXXXXXXX-17  2017-09-13  440882 "/>
        <s v="GSTIN    -    07AXXXXXXXXR1ZG&#10;Invoice Number Invoice Date IGST Paid(INR)&#10;XXXXXXXXXXXXX-18  2017-09-15  243762 "/>
        <s v="GSTIN    -    07AXXXXXXXXK1ZN&#10;Invoice Number Invoice Date IGST Paid(INR)&#10;XXXXXXXXXXXXXX017  2017-07-20  245896 "/>
        <s v="GSTIN    -    07AXXXXXXXXE1ZC&#10;Invoice Number Invoice Date IGST Paid(INR)&#10;007  2017-09-15  90209 "/>
        <s v="GSTIN    -    07AXXXXXXXXQ1ZV&#10;Invoice Number Invoice Date IGST Paid(INR)&#10;XXXXXXXX017  2017-09-18  168374 "/>
        <s v="GSTIN    -    06BXXXXXXXXM1ZI&#10;Invoice Number Invoice Date IGST Paid(INR)&#10;32  2017-09-19  21793 "/>
        <s v="GSTIN    -    27AXXXXXXXXA1ZR&#10;Invoice Number Invoice Date IGST Paid(INR)&#10;X505  2017-09-14  43054 "/>
        <s v="GSTIN    -    06AXXXXXXXXK1ZT&#10;Invoice Number Invoice Date IGST Paid(INR)&#10;XXXXXXX-18  2017-09-11  57646 "/>
        <s v="GSTIN    -    07AXXXXXXXXM2ZO&#10;Invoice Number Invoice Date IGST Paid(INR)&#10;002  2017-09-18  35097 "/>
        <s v="GSTIN    -    03AXXXXXXXXQ1Z4&#10;Invoice Number Invoice Date IGST Paid(INR)&#10;XXXXXXXXX-18  2017-09-18  210622 "/>
        <s v="GSTIN    -    07BXXXXXXXXQ1Z9&#10;Invoice Number Invoice Date IGST Paid(INR)&#10;XXXXXXX163  2017-09-20  248932 "/>
        <s v="GSTIN    -    06AXXXXXXXXH1ZO&#10;Invoice Number Invoice Date IGST Paid(INR)&#10;XXXXXXXXXXXX-18  2017-09-13  114555 "/>
        <s v="GSTIN    -    26AXXXXXXXXN2Z5&#10;Invoice Number Invoice Date IGST Paid(INR)&#10;XXXXXXXXXXX-08  2017-08-12  66584 "/>
        <s v="GSTIN    -    07AXXXXXXXXB1ZR&#10;Invoice Number Invoice Date IGST Paid(INR)&#10;XXXXXXXXX-18  2017-09-20  229557 "/>
        <s v="GSTIN    -    09AXXXXXXXXP2ZF&#10;Invoice Number Invoice Date IGST Paid(INR)&#10;XXXXXXXXX/19  2017-09-20  33260 "/>
        <s v="GSTIN    -    07AXXXXXXXXB1ZR&#10;Invoice Number Invoice Date IGST Paid(INR)&#10;XXXXXXXX-18  2017-09-22  562831 "/>
        <s v="GSTIN    -    06AXXXXXXXXK1ZR&#10;Invoice Number Invoice Date IGST Paid(INR)&#10;XXXXXXXXXXXXXX-18  2017-09-21  56752 "/>
        <s v="GSTIN    -    06AXXXXXXXXK1ZR&#10;Invoice Number Invoice Date IGST Paid(INR)&#10;XXXXXXXXXXXXXX-18  2017-09-15  59806 "/>
        <s v="GSTIN    -    07AXXXXXXXXH1ZE&#10;Invoice Number Invoice Date IGST Paid(INR)&#10;XX-01  2017-09-25  81717 "/>
        <s v="GSTIN    -    07DXXXXXXXXB1Z5&#10;Invoice Number Invoice Date IGST Paid(INR)&#10;XXXXXXXXXXXX-18  2017-09-25  240648 "/>
        <s v="GSTIN    -    07DXXXXXXXXB1Z5&#10;Invoice Number Invoice Date IGST Paid(INR)&#10;XXXXXXXXXXXX-18  2017-09-25  248657 "/>
        <s v="GSTIN    -    07DXXXXXXXXB1Z5&#10;Invoice Number Invoice Date IGST Paid(INR)&#10;XXXXXXXXXXXX-18  2017-09-25  245188 "/>
        <s v="GSTIN    -    07AXXXXXXXXN1Z4&#10;Invoice Number Invoice Date IGST Paid(INR)&#10;XXXXXXXXXXXXX001  2017-09-12  36391 "/>
        <s v="GSTIN    -    06AXXXXXXXXQ1Z8&#10;Invoice Number Invoice Date IGST Paid(INR)&#10;XXXXXXXXXXX-18  2017-09-26  183793 "/>
        <s v="GSTIN    -    06AXXXXXXXXG1ZR&#10;Invoice Number Invoice Date IGST Paid(INR)&#10;XXXXXXX/07  2017-09-25  162289 "/>
        <s v="GSTIN    -    06AXXXXXXXXG1ZR&#10;Invoice Number Invoice Date IGST Paid(INR)&#10;XXXXXXX/08  2017-09-25  69552 "/>
        <s v="GSTIN    -    09AXXXXXXXXB1ZQ&#10;Invoice Number Invoice Date IGST Paid(INR)&#10;XXXXXXXXXXXXX/16  2017-09-23  131799 "/>
        <s v="GSTIN    -    27AXXXXXXXXR1ZF&#10;Invoice Number Invoice Date IGST Paid(INR)&#10;XXXXXXXXXXXX-18  2017-09-22  17820 "/>
        <s v="GSTIN    -    05AXXXXXXXXL3ZW&#10;Invoice Number Invoice Date IGST Paid(INR)&#10;XXXX228  2017-09-06  54545 "/>
        <s v="GSTIN    -    27AXXXXXXXXR1ZF&#10;Invoice Number Invoice Date IGST Paid(INR)&#10;XXXXXXXXXXXX-18  2017-09-22  70092 "/>
        <s v="GSTIN    -    27AXXXXXXXXR1ZF&#10;Invoice Number Invoice Date IGST Paid(INR)&#10;XXXXXXXXXXXX-18  2017-09-22  152148 "/>
        <s v="GSTIN    -    27AXXXXXXXXR1ZF&#10;Invoice Number Invoice Date IGST Paid(INR)&#10;XXXXXXXXXXXX-18  2017-09-19  35762 "/>
        <s v="GSTIN    -    06AXXXXXXXXM1ZZ&#10;Invoice Number Invoice Date IGST Paid(INR)&#10;053  2017-09-13  72054 "/>
        <s v="GSTIN    -    07AXXXXXXXXB1ZR&#10;Invoice Number Invoice Date IGST Paid(INR)&#10;XXXXXXXXX-18  2017-09-27  451879 "/>
        <s v="GSTIN    -    07AXXXXXXXXB1ZR&#10;Invoice Number Invoice Date IGST Paid(INR)&#10;XXXXXXXXX-18  2017-09-27  645045 "/>
        <s v="GSTIN    -    09BXXXXXXXXA1ZM&#10;Invoice Number Invoice Date IGST Paid(INR)&#10;XXXXXXXXXXXXX/17  2017-09-09  24308 &#10;XXXXXXXXXXXXX/17  2017-09-09  22685 "/>
        <s v="GSTIN    -    07AXXXXXXXXL1ZI&#10;Invoice Number Invoice Date IGST Paid(INR)&#10;XXXXXXXXXXXX/34  2017-09-21  165469 "/>
        <s v="GSTIN    -    07AXXXXXXXXP2Z7&#10;Invoice Number Invoice Date IGST Paid(INR)&#10;XXXXXXX002  2017-10-03  165318 "/>
        <s v="GSTIN    -    06AXXXXXXXXQ1ZP&#10;Invoice Number Invoice Date IGST Paid(INR)&#10;XXXXXXXX/18  2017-09-28  65266 "/>
        <s v="GSTIN    -    08AXXXXXXXXM1ZV&#10;Invoice Number Invoice Date IGST Paid(INR)&#10;XXXXXXXXXXXXXX/18  2017-10-03  19275 "/>
        <s v="GSTIN    -    07AXXXXXXXXA1ZT&#10;Invoice Number Invoice Date IGST Paid(INR)&#10;XXXXXXXXXXXXXEXP  2017-10-05  214834 "/>
        <s v="GSTIN    -    09AXXXXXXXXA1Z1&#10;Invoice Number Invoice Date IGST Paid(INR)&#10;XXXXX4/B  2017-10-03  97398 "/>
        <s v="GSTIN    -    07AXXXXXXXXL1ZM&#10;Invoice Number Invoice Date IGST Paid(INR)&#10;XXXXXX/17  2017-10-04  171989 "/>
        <s v="GSTIN    -    07AXXXXXXXXJ1Z1&#10;Invoice Number Invoice Date IGST Paid(INR)&#10;XXXXXXXX/17  2017-10-03  9714 "/>
        <s v="GSTIN    -    06AXXXXXXXXB1ZO&#10;Invoice Number Invoice Date IGST Paid(INR)&#10;074  2017-10-05  57708 "/>
        <s v="GSTIN    -    07AXXXXXXXXB1ZM&#10;Invoice Number Invoice Date IGST Paid(INR)&#10;XXXXXXXXXX/07  2017-10-06  49303 "/>
        <s v="GSTIN    -    09AXXXXXXXXH1ZU&#10;Invoice Number Invoice Date IGST Paid(INR)&#10;XXXXXXXXXXXXX-18  2017-10-06  39351 "/>
        <s v="GSTIN    -    27AXXXXXXXXG1ZA&#10;Invoice Number Invoice Date IGST Paid(INR)&#10;XXXXXXXXXXXXX8/A  2017-10-06  40207 "/>
        <s v="GSTIN    -    07AXXXXXXXXP1Z3&#10;Invoice Number Invoice Date IGST Paid(INR)&#10;XXXXXXX012  2017-10-06  60167 "/>
        <s v="GSTIN    -    06AXXXXXXXXK1ZF&#10;Invoice Number Invoice Date IGST Paid(INR)&#10;XXXXXXXXXX-18  2017-10-06  367088 "/>
        <s v="GSTIN    -    07AXXXXXXXXL1ZH&#10;Invoice Number Invoice Date IGST Paid(INR)&#10;007  2017-10-07  25138 "/>
        <s v="GSTIN    -    07AXXXXXXXXK1ZE&#10;Invoice Number Invoice Date IGST Paid(INR)&#10;XXXXX8-A  2017-10-10  5771 "/>
        <s v="GSTIN    -    06AXXXXXXXXM1ZQ&#10;Invoice Number Invoice Date IGST Paid(INR)&#10;XXXXXX-18  2017-10-04  21744 "/>
        <s v="GSTIN    -    09AXXXXXXXXH1ZE&#10;Invoice Number Invoice Date IGST Paid(INR)&#10;XXXXXXXXXX113  2017-10-10  54671 "/>
        <s v="GSTIN    -    06AXXXXXXXXE1ZX&#10;Invoice Number Invoice Date IGST Paid(INR)&#10;XXXXXXXXX032  2017-10-11  195960 "/>
        <s v="GSTIN    -    06AXXXXXXXXN1Z9&#10;Invoice Number Invoice Date IGST Paid(INR)&#10;XXXXXXXX-18  2017-10-11  57636 "/>
        <s v="GSTIN    -    07AXXXXXXXXB1ZS&#10;Invoice Number Invoice Date IGST Paid(INR)&#10;XXXXXXX017  2017-10-09  87378 "/>
        <s v="GSTIN    -    20AXXXXXXXXE1ZX&#10;Invoice Number Invoice Date IGST Paid(INR)&#10;XXXXXXXXXXXXXX17-  2017-10-04  13503 "/>
        <s v="GSTIN    -    27AXXXXXXXXR1ZF&#10;Invoice Number Invoice Date IGST Paid(INR)&#10;XXXXXXXXXXXX-18  2017-10-06  63000 "/>
        <s v="GSTIN    -    06AXXXXXXXXD1ZC&#10;Invoice Number Invoice Date IGST Paid(INR)&#10;XXXXXXXXXX016  2017-10-16  36630 "/>
        <s v="GSTIN    -    07AXXXXXXXXE1ZT&#10;Invoice Number Invoice Date IGST Paid(INR)&#10;XXXXXXXXXX367  2017-10-17  833 &#10;XXXXXXXXXX369  2017-10-17  7096 "/>
        <s v="GSTIN    -    07AXXXXXXXXK1ZR&#10;Invoice Number Invoice Date IGST Paid(INR)&#10;X212  2017-10-09  36249 "/>
        <s v="GSTIN    -    07AXXXXXXXXM1ZO&#10;Invoice Number Invoice Date IGST Paid(INR)&#10;XXXXXXXX-18  2017-10-14  89394 "/>
        <s v="GSTIN    -    09AXXXXXXXXF1ZG&#10;Invoice Number Invoice Date IGST Paid(INR)&#10;XXXXXXXXXXX-12  2017-10-04  34975 "/>
        <s v="GSTIN    -    07AXXXXXXXXP3ZI&#10;Invoice Number Invoice Date IGST Paid(INR)&#10;XXXXXXXXXXXXXX-18  2017-10-15  14927 "/>
        <s v="GSTIN    -    06AXXXXXXXXE1ZX&#10;Invoice Number Invoice Date IGST Paid(INR)&#10;XXXXXXXXXXXXXX/10  2017-10-23  878404 "/>
        <s v="GSTIN    -    07AXXXXXXXXK1ZW&#10;Invoice Number Invoice Date IGST Paid(INR)&#10;XXXXXXXXXXXXX146  2017-10-25  3925 "/>
        <s v="GSTIN    -    09AXXXXXXXXP2ZF&#10;Invoice Number Invoice Date IGST Paid(INR)&#10;XXXXXXXXX/22  2017-10-17  4296 "/>
        <s v="GSTIN    -    09AXXXXXXXXR1ZJ&#10;Invoice Number Invoice Date IGST Paid(INR)&#10;XXXXXXXXXXXXX001  2017-10-25  956079 "/>
        <s v="GSTIN    -    07AXXXXXXXXQ1ZX&#10;Invoice Number Invoice Date IGST Paid(INR)&#10;XXXXXXXXXXX-18  2017-09-25  29163 "/>
        <s v="GSTIN    -    06AXXXXXXXXE4ZU&#10;Invoice Number Invoice Date IGST Paid(INR)&#10;XXXXXXXXXXXXXX17-  2017-09-28  54045 "/>
        <s v="GSTIN    -    06AXXXXXXXXK1ZR&#10;Invoice Number Invoice Date IGST Paid(INR)&#10;XXXXXXXXXX718  2017-10-24  45882 "/>
        <s v="GSTIN    -    06AXXXXXXXXD1Z2&#10;Invoice Number Invoice Date IGST Paid(INR)&#10;XXXXXXXXXX263  2017-09-28  59984 "/>
        <s v="GSTIN    -    06AXXXXXXXXR1ZC&#10;Invoice Number Invoice Date IGST Paid(INR)&#10;XXX/02  2017-10-20  175500 "/>
        <s v="GSTIN    -    06AXXXXXXXXJ2ZR&#10;Invoice Number Invoice Date IGST Paid(INR)&#10;XXXXX-18  2017-09-20  45511 "/>
        <s v="GSTIN    -    27AXXXXXXXXR1ZF&#10;Invoice Number Invoice Date IGST Paid(INR)&#10;XXXXXXXXXXXXXX-18  2017-10-26  168000 "/>
        <s v="GSTIN    -    07AXXXXXXXXL1Z8&#10;Invoice Number Invoice Date IGST Paid(INR)&#10;XXXXXXXX001  2017-10-27  10914 "/>
        <s v="GSTIN    -    07AXXXXXXXXF1Z3&#10;Invoice Number Invoice Date IGST Paid(INR)&#10;XXXXXXXXX066  2017-10-10  35768 "/>
        <s v="GSTIN    -    07AXXXXXXXXF1Z3&#10;Invoice Number Invoice Date IGST Paid(INR)&#10;XXXXXXXXX068  2017-10-30  39496 "/>
        <s v="GSTIN    -    06AXXXXXXXXD1ZM&#10;Invoice Number Invoice Date IGST Paid(INR)&#10;XXXXXX/11  2017-10-27  61871 "/>
        <s v="GSTIN    -    06AXXXXXXXXK1ZR&#10;Invoice Number Invoice Date IGST Paid(INR)&#10;XXXXXXXXXX718  2017-11-02  17288 "/>
        <s v="GSTIN    -    19AXXXXXXXXC1ZW&#10;Invoice Number Invoice Date IGST Paid(INR)&#10;XXXXXXXXXXXX017  2017-10-31  194792 "/>
        <s v="GSTIN    -    03AXXXXXXXXN2Z7&#10;Invoice Number Invoice Date IGST Paid(INR)&#10;04  2017-11-02  198470 "/>
        <s v="GSTIN    -    06AXXXXXXXXC1ZC&#10;Invoice Number Invoice Date IGST Paid(INR)&#10;1  2017-10-26  25511 "/>
        <s v="GSTIN    -    06AXXXXXXXXD1Z0&#10;Invoice Number Invoice Date IGST Paid(INR)&#10;XXXXXXXXXXX-18  2017-11-02  22038 "/>
        <s v="GSTIN    -    07AXXXXXXXXH1Z8&#10;Invoice Number Invoice Date IGST Paid(INR)&#10;XXXXXXXX017  2017-11-06  92965 "/>
        <s v="GSTIN    -    06AXXXXXXXXN1ZN&#10;Invoice Number Invoice Date IGST Paid(INR)&#10;008  2017-10-28  251421 "/>
        <s v="GSTIN    -    09AXXXXXXXXJ1Z6&#10;Invoice Number Invoice Date IGST Paid(INR)&#10;XXXXXXXXXXX018  2017-11-06  251970 "/>
        <s v="GSTIN    -    07AXXXXXXXXN2Z8&#10;Invoice Number Invoice Date IGST Paid(INR)&#10;XXXXXX-18  2017-11-04  1073135 "/>
        <s v="GSTIN    -    09AXXXXXXXXF1ZF&#10;Invoice Number Invoice Date IGST Paid(INR)&#10;XXXXXXXXXXX-18  2017-10-24  483215 "/>
        <s v="GSTIN    -    07AXXXXXXXXD1Z2&#10;Invoice Number Invoice Date IGST Paid(INR)&#10;XXX004  2017-10-25  96124 "/>
        <s v="GSTIN    -    07AXXXXXXXXF1Z3&#10;Invoice Number Invoice Date IGST Paid(INR)&#10;XXXXXXXXX069  2017-10-11  11441 "/>
        <s v="GSTIN    -    07AXXXXXXXXH1ZA&#10;Invoice Number Invoice Date IGST Paid(INR)&#10;XXXXXXXXXXX-18  2017-11-03  46027 "/>
        <s v="GSTIN    -    07AXXXXXXXXP3ZI&#10;Invoice Number Invoice Date IGST Paid(INR)&#10;XXXXXXXXXXXXXX-18  2017-11-01  10363 "/>
        <s v="GSTIN    -    06AXXXXXXXXN1ZW&#10;Invoice Number Invoice Date IGST Paid(INR)&#10;XXXXXXXXXXX057  2017-11-07  30668 "/>
        <s v="GSTIN    -    07AXXXXXXXXE1ZD&#10;Invoice Number Invoice Date IGST Paid(INR)&#10;XXXXXXXXXXX018  2017-11-04  521924 "/>
        <s v="GSTIN    -    24AXXXXXXXXK1ZB&#10;Invoice Number Invoice Date IGST Paid(INR)&#10;XXXXXXXXXXXXXX-18  2017-11-15  86415 "/>
        <s v="GSTIN    -    27AXXXXXXXXG1ZA&#10;Invoice Number Invoice Date IGST Paid(INR)&#10;XXXXXXXXXXX-18  2017-11-11  1193 "/>
        <s v="GSTIN    -    06AXXXXXXXXF1ZQ&#10;Invoice Number Invoice Date IGST Paid(INR)&#10;XXXXXXXXX152  2017-11-09  8504 "/>
        <s v="GSTIN    -    06AXXXXXXXXF1ZQ&#10;Invoice Number Invoice Date IGST Paid(INR)&#10;XXXXXXXXX151  2017-11-09  296338 "/>
        <s v="GSTIN    -    07AXXXXXXXXP2Z7&#10;Invoice Number Invoice Date IGST Paid(INR)&#10;XXXXXXX003  2017-11-20  222797 "/>
        <s v="GSTIN    -    09AXXXXXXXXM1ZH&#10;Invoice Number Invoice Date IGST Paid(INR)&#10;002  2017-11-20  176472 "/>
        <s v="GSTIN    -    07AXXXXXXXXQ2ZD&#10;Invoice Number Invoice Date IGST Paid(INR)&#10;01  2017-11-21  5678 "/>
        <s v="GSTIN    -    03AXXXXXXXXJ1Z2&#10;Invoice Number Invoice Date IGST Paid(INR)&#10;XXXXXXXXXX018  2017-11-16  295102 "/>
        <s v="GSTIN    -    07AXXXXXXXXB1ZS&#10;Invoice Number Invoice Date IGST Paid(INR)&#10;XXXXXXX017  2017-10-22  99523 "/>
        <s v="GSTIN    -    07AXXXXXXXXA1ZH&#10;Invoice Number Invoice Date IGST Paid(INR)&#10;XXXXXXXXXXXXXX365  2017-11-02  65520 "/>
        <s v="GSTIN    -    07AXXXXXXXXP3ZI&#10;Invoice Number Invoice Date IGST Paid(INR)&#10;XXXXXXXXXXXXXX-18  2017-11-15  92061 "/>
        <s v="GSTIN    -    07AXXXXXXXXE1Z3&#10;Invoice Number Invoice Date IGST Paid(INR)&#10;XXXXXXXX-18  2017-11-14  187200 "/>
        <s v="GSTIN    -    06AXXXXXXXXG1ZC&#10;Invoice Number Invoice Date IGST Paid(INR)&#10;XXXXXXXXX/09  2017-11-22  13655 "/>
        <s v="GSTIN    -    06AXXXXXXXXD1Z8&#10;Invoice Number Invoice Date IGST Paid(INR)&#10;XXXXXXXXXXXXXX038  2017-11-22  803179 "/>
        <s v="GSTIN    -    07AXXXXXXXXA1Z1&#10;Invoice Number Invoice Date IGST Paid(INR)&#10;XXXXXXXXXXXXXX-18  2017-11-16  46512 "/>
        <s v="GSTIN    -    07AXXXXXXXXC1ZF&#10;Invoice Number Invoice Date IGST Paid(INR)&#10;X061  2017-11-22  2065 "/>
        <s v="GSTIN    -    06AXXXXXXXXE4ZU&#10;Invoice Number Invoice Date IGST Paid(INR)&#10;XXXXXXXXXXXXXX-18  2017-11-20  77361 "/>
        <s v="GSTIN    -    07AXXXXXXXXE1ZD&#10;Invoice Number Invoice Date IGST Paid(INR)&#10;XXXXXXXXXXX018  2017-11-27  226947 "/>
        <s v="GSTIN    -    07AXXXXXXXXL1Z4&#10;Invoice Number Invoice Date IGST Paid(INR)&#10;XXXXXXXXXXXXX425  2017-11-17  98557 "/>
        <s v="GSTIN    -    06AXXXXXXXXR2ZO&#10;Invoice Number Invoice Date IGST Paid(INR)&#10;XXXXXXXXXXXXX792  2017-11-28  69994 "/>
        <s v="GSTIN    -    07AXXXXXXXXN1ZH&#10;Invoice Number Invoice Date IGST Paid(INR)&#10;XXXXXXXXXXX-18  2017-11-15  42400 "/>
        <s v="GSTIN    -    06AXXXXXXXXE1ZC&#10;Invoice Number Invoice Date IGST Paid(INR)&#10;XXXXXXXXXXXXXO/1  2017-11-15  41472 "/>
        <s v="GSTIN    -    06AXXXXXXXXN1ZN&#10;Invoice Number Invoice Date IGST Paid(INR)&#10;010  2017-11-28  39231 "/>
        <s v="GSTIN    -    06AXXXXXXXXP1ZP&#10;Invoice Number Invoice Date IGST Paid(INR)&#10;XXXXXXXXXXXXXX134  2017-11-15  243493 "/>
        <s v="GSTIN    -    06AXXXXXXXXP1ZP&#10;Invoice Number Invoice Date IGST Paid(INR)&#10;XXXXXXXXXXXXXX133  2017-11-24  363971 "/>
        <s v="GSTIN    -    07AXXXXXXXXH1ZW&#10;Invoice Number Invoice Date IGST Paid(INR)&#10;XXXXXXE03  2017-11-28  112320 "/>
        <s v="GSTIN    -    06AXXXXXXXXC2Z2&#10;Invoice Number Invoice Date IGST Paid(INR)&#10;XXXXX025  2017-11-16  34481700 "/>
        <s v="GSTIN    -    02AXXXXXXXXR2Z6&#10;Invoice Number Invoice Date IGST Paid(INR)&#10;XXXXXXXXXXXXXX25/  2017-11-29  1841 "/>
        <s v="GSTIN    -    07AXXXXXXXXP3ZI&#10;Invoice Number Invoice Date IGST Paid(INR)&#10;XXXXXXXXXXXXXX-18  2017-11-19  10889 "/>
        <s v="GSTIN    -    07AXXXXXXXXP3ZI&#10;Invoice Number Invoice Date IGST Paid(INR)&#10;XXXXXXXXXXXXXX-18  2017-11-28  10369 "/>
        <s v="GSTIN    -    06AXXXXXXXXK1ZV&#10;Invoice Number Invoice Date IGST Paid(INR)&#10;XXXXXXXXXX216  2017-11-24  446822 "/>
        <s v="GSTIN    -    06AXXXXXXXXK1ZV&#10;Invoice Number Invoice Date IGST Paid(INR)&#10;XXXXXXXXXX215  2017-11-24  1787288 "/>
        <s v="GSTIN    -    07AXXXXXXXXK1Z2&#10;Invoice Number Invoice Date IGST Paid(INR)&#10;XXXXXXXXXX201  2017-11-25  108705 "/>
        <s v="GSTIN    -    07AXXXXXXXXF2ZV&#10;Invoice Number Invoice Date IGST Paid(INR)&#10;XXXXXXXXXXXXXXT36  2017-11-28  101578 "/>
        <s v="GSTIN    -    07DXXXXXXXXL1ZP&#10;Invoice Number Invoice Date IGST Paid(INR)&#10;XXXXXXXXXXXXXX-18  2017-11-29  64076 "/>
        <s v="GSTIN    -    07AXXXXXXXXH1ZD&#10;Invoice Number Invoice Date IGST Paid(INR)&#10;XXXXXXXXXXXXX018  2017-11-27  38804 "/>
        <s v="GSTIN    -    06AXXXXXXXXM1Z2&#10;Invoice Number Invoice Date IGST Paid(INR)&#10;XXXXXXXXX8RG  2017-11-27  6216 "/>
        <s v="GSTIN    -    06AXXXXXXXXM1Z2&#10;Invoice Number Invoice Date IGST Paid(INR)&#10;XXXXXXXXX8RG  2017-11-18  2327 "/>
        <s v="GSTIN    -    07AXXXXXXXXH1ZZ&#10;Invoice Number Invoice Date IGST Paid(INR)&#10;XXXXXXXX155  2017-11-10  86378 "/>
        <s v="GSTIN    -    06AXXXXXXXXM1Z2&#10;Invoice Number Invoice Date IGST Paid(INR)&#10;XXXXXXXXX8RG  2017-11-28  9066 "/>
        <s v="GSTIN    -    06AXXXXXXXXM1Z2&#10;Invoice Number Invoice Date IGST Paid(INR)&#10;XXXXXXXXX8RG  2017-11-29  4888 "/>
        <s v="GSTIN    -    04AXXXXXXXXF1ZC&#10;Invoice Number Invoice Date IGST Paid(INR)&#10;05  2017-12-02  1022 "/>
        <s v="GSTIN    -    07AXXXXXXXXB1ZS&#10;Invoice Number Invoice Date IGST Paid(INR)&#10;XXXXXXX017  2017-11-20  65433 "/>
        <s v="GSTIN    -    03AXXXXXXXXK1Z0&#10;Invoice Number Invoice Date IGST Paid(INR)&#10;665  2017-11-28  67868 "/>
        <s v="GSTIN    -    06AXXXXXXXXD1ZQ&#10;Invoice Number Invoice Date IGST Paid(INR)&#10;XXXXXXXXX056  2017-12-04  185491 "/>
        <s v="GSTIN    -    07AXXXXXXXXF1ZH&#10;Invoice Number Invoice Date IGST Paid(INR)&#10;XXXXXXXXXXXXXX7-1  2017-11-30  10297 "/>
        <s v="GSTIN    -    07AXXXXXXXXJ1Z1&#10;Invoice Number Invoice Date IGST Paid(INR)&#10;XXXXXXXX/17  2017-12-01  12744 "/>
        <s v="GSTIN    -    06AXXXXXXXXB1ZF&#10;Invoice Number Invoice Date IGST Paid(INR)&#10;108  2017-12-05  4158 "/>
        <s v="GSTIN    -    09AXXXXXXXXA1Z1&#10;Invoice Number Invoice Date IGST Paid(INR)&#10;XXXXX8/B  2017-11-30  274456 "/>
        <s v="GSTIN    -    07AXXXXXXXXF1ZU&#10;Invoice Number Invoice Date IGST Paid(INR)&#10;XXXXXXX067  2017-12-04  637916 "/>
        <s v="GSTIN    -    06AXXXXXXXXB1ZF&#10;Invoice Number Invoice Date IGST Paid(INR)&#10;109  2017-12-06  4158 "/>
        <s v="GSTIN    -    06AXXXXXXXXB1ZF&#10;Invoice Number Invoice Date IGST Paid(INR)&#10;110  2017-12-07  4158 "/>
        <s v="GSTIN    -    07AXXXXXXXXF1ZH&#10;Invoice Number Invoice Date IGST Paid(INR)&#10;XXXXXXXXXXXXXX7-1  2017-11-28  20224 "/>
        <s v="GSTIN    -    07AXXXXXXXXF1ZR&#10;Invoice Number Invoice Date IGST Paid(INR)&#10;XXXXXXXXXXXX153  2017-12-08  11466 "/>
        <s v="GSTIN    -    07AXXXXXXXXL1ZI&#10;Invoice Number Invoice Date IGST Paid(INR)&#10;XXXXXXXXXXXX/35  2017-12-11  166646 "/>
        <s v="GSTIN    -    07AXXXXXXXXF1ZU&#10;Invoice Number Invoice Date IGST Paid(INR)&#10;XXXXXXX068  2017-12-04  147025 "/>
        <s v="GSTIN    -    07AXXXXXXXXC1Z5&#10;Invoice Number Invoice Date IGST Paid(INR)&#10;XXXXXXX/17  2017-12-05  33903 "/>
        <s v="GSTIN    -    06AXXXXXXXXB1ZF&#10;Invoice Number Invoice Date IGST Paid(INR)&#10;111  2017-12-11  4158 "/>
        <s v="GSTIN    -    06AXXXXXXXXE1ZT&#10;Invoice Number Invoice Date IGST Paid(INR)&#10;XXXXX-18  2017-12-11  298404 "/>
        <s v="GSTIN    -    06AXXXXXXXXK1ZF&#10;Invoice Number Invoice Date IGST Paid(INR)&#10;XXXXXXXXXXX340  2017-12-07  189189 "/>
        <s v="GSTIN    -    07AXXXXXXXXM1ZF&#10;Invoice Number Invoice Date IGST Paid(INR)&#10;XXXXXXX-18  2017-12-07  3906 "/>
        <s v="GSTIN    -    06AXXXXXXXXD1Z2&#10;Invoice Number Invoice Date IGST Paid(INR)&#10;XXXXXXXXXX933  2017-12-07  160999 "/>
        <s v="GSTIN    -    07AXXXXXXXXE1ZD&#10;Invoice Number Invoice Date IGST Paid(INR)&#10;XXXXXXXXXXX018  2017-12-05  118001 "/>
        <s v="GSTIN    -    08AXXXXXXXXA1ZW&#10;Invoice Number Invoice Date IGST Paid(INR)&#10;XXXXXXXXXXX-18  2017-12-12  3220 "/>
        <s v="GSTIN    -    27AXXXXXXXXR1ZF&#10;Invoice Number Invoice Date IGST Paid(INR)&#10;XXXXXXXXXXXXXX718  2017-12-06  8950 "/>
        <s v="GSTIN    -    06AXXXXXXXXB1ZF&#10;Invoice Number Invoice Date IGST Paid(INR)&#10;112  2017-12-13  4158 "/>
        <s v="GSTIN    -    07AXXXXXXXXF1ZU&#10;Invoice Number Invoice Date IGST Paid(INR)&#10;XXXXXXX069  2017-12-11  307129 "/>
        <s v="GSTIN    -    29AXXXXXXXXJ1Z5&#10;Invoice Number Invoice Date IGST Paid(INR)&#10;XXXXXXXXXXX017  2017-11-17  74410 "/>
        <s v="GSTIN    -    06AXXXXXXXXM1ZZ&#10;Invoice Number Invoice Date IGST Paid(INR)&#10;070  2017-12-07  69371 "/>
        <s v="GSTIN    -    07DXXXXXXXXL1ZP&#10;Invoice Number Invoice Date IGST Paid(INR)&#10;XXXXXXXXXXXX-18  2017-12-15  79128 "/>
        <s v="GSTIN    -    03AXXXXXXXXE1ZC&#10;Invoice Number Invoice Date IGST Paid(INR)&#10;E53  2017-12-14  88028 "/>
        <s v="GSTIN    -    06AXXXXXXXXB1ZF&#10;Invoice Number Invoice Date IGST Paid(INR)&#10;113  2017-12-15  3753 "/>
        <s v="GSTIN    -    08AXXXXXXXXA1Z5&#10;Invoice Number Invoice Date IGST Paid(INR)&#10;X090  2017-10-31  2598 "/>
        <s v="GSTIN    -    27AXXXXXXXXG1ZZ&#10;Invoice Number Invoice Date IGST Paid(INR)&#10;XXXXXXXXXXXXXX-18  2017-11-30  67946 "/>
        <s v="GSTIN    -    07AXXXXXXXXB1ZS&#10;Invoice Number Invoice Date IGST Paid(INR)&#10;XXXXXXX017  2017-12-08  89111 "/>
        <s v="GSTIN    -    07AXXXXXXXXB1ZS&#10;Invoice Number Invoice Date IGST Paid(INR)&#10;XXXXXXX017  2017-12-15  65112 "/>
        <s v="GSTIN    -    02AXXXXXXXXK1ZJ&#10;Invoice Number Invoice Date IGST Paid(INR)&#10;XXXXXXXXXXXXXX-18  2017-12-16  94893 "/>
        <s v="GSTIN    -    07AXXXXXXXXF1ZU&#10;Invoice Number Invoice Date IGST Paid(INR)&#10;XXXXXXX070  2017-12-14  133827 "/>
        <s v="GSTIN    -    06AXXXXXXXXB1ZF&#10;Invoice Number Invoice Date IGST Paid(INR)&#10;114  2017-12-18  3753 "/>
        <s v="GSTIN    -    07AXXXXXXXXB1ZE&#10;Invoice Number Invoice Date IGST Paid(INR)&#10;XXXMA8  2017-12-12  17084 "/>
        <s v="GSTIN    -    06AXXXXXXXXC2Z2&#10;Invoice Number Invoice Date IGST Paid(INR)&#10;XXXXX028  2017-12-14  50771448 "/>
        <s v="GSTIN    -    06AXXXXXXXXJ1ZI&#10;Invoice Number Invoice Date IGST Paid(INR)&#10;XXXXXXXXXXXXX762  2017-12-16  11970 "/>
        <s v="GSTIN    -    06AXXXXXXXXJ1ZK&#10;Invoice Number Invoice Date IGST Paid(INR)&#10;16  2017-12-20  25223 "/>
        <s v="GSTIN    -    08AXXXXXXXXD1ZM&#10;Invoice Number Invoice Date IGST Paid(INR)&#10;XXXXXXX646  2017-12-21  471806 "/>
        <s v="GSTIN    -    06AXXXXXXXXB1ZF&#10;Invoice Number Invoice Date IGST Paid(INR)&#10;115  2017-12-20  3753 "/>
        <s v="GSTIN    -    07AXXXXXXXXB1ZR&#10;Invoice Number Invoice Date IGST Paid(INR)&#10;XXXXXXXXX-18  2017-12-21  7550 "/>
        <s v="GSTIN    -    02AXXXXXXXXK1ZJ&#10;Invoice Number Invoice Date IGST Paid(INR)&#10;XXXXXXXXXXXXXX-18  2017-12-20  96086 "/>
        <s v="GSTIN    -    08AXXXXXXXXD1ZM&#10;Invoice Number Invoice Date IGST Paid(INR)&#10;XXXXXXX649  2017-12-21  426808 &#10;XXXXXXX650  2017-12-21  44889 "/>
        <s v="GSTIN    -    06AXXXXXXXXG1ZP&#10;Invoice Number Invoice Date IGST Paid(INR)&#10;XXXXXXXXXXXXX164  2017-12-20  1522 "/>
        <s v="GSTIN    -    06AXXXXXXXXN1ZD&#10;Invoice Number Invoice Date IGST Paid(INR)&#10;XXX112  2017-12-11  6208 "/>
        <s v="GSTIN    -    06AXXXXXXXXB1ZF&#10;Invoice Number Invoice Date IGST Paid(INR)&#10;116  2017-12-25  3753 "/>
        <s v="GSTIN    -    07AXXXXXXXXK1ZR&#10;Invoice Number Invoice Date IGST Paid(INR)&#10;065  2017-12-23  287054 "/>
        <s v="GSTIN    -    07AXXXXXXXXB1ZR&#10;Invoice Number Invoice Date IGST Paid(INR)&#10;XXXXXXXXX-18  2017-12-22  14360 "/>
        <s v="GSTIN    -    02AXXXXXXXXK1ZJ&#10;Invoice Number Invoice Date IGST Paid(INR)&#10;XXXXXXXXXXXXXX-18  2017-12-23  77699 "/>
        <s v="GSTIN    -    07AXXXXXXXXK1Z5&#10;Invoice Number Invoice Date IGST Paid(INR)&#10;XXXXXXXXXXXXXX-18  2017-12-25  238078 "/>
        <s v="GSTIN    -    08AXXXXXXXXA1ZT&#10;Invoice Number Invoice Date IGST Paid(INR)&#10;XXX/02  2017-12-26  99422 "/>
        <s v="GSTIN    -    06AXXXXXXXXB1ZF&#10;Invoice Number Invoice Date IGST Paid(INR)&#10;117  2017-12-26  4081 "/>
        <s v="GSTIN    -    07AXXXXXXXXP1Z3&#10;Invoice Number Invoice Date IGST Paid(INR)&#10;X021  2017-12-14  32148 &#10;X022  2017-12-14  27327 &#10;X023  2017-12-14  29400 "/>
        <s v="GSTIN    -    03AXXXXXXXXP1ZA&#10;Invoice Number Invoice Date IGST Paid(INR)&#10;XXXX937  2017-12-19  11723 "/>
        <s v="GSTIN    -    07AXXXXXXXXB1ZR&#10;Invoice Number Invoice Date IGST Paid(INR)&#10;XXXXXXXXX-18  2017-12-27  4829 "/>
        <s v="GSTIN    -    07AXXXXXXXXB1ZR&#10;Invoice Number Invoice Date IGST Paid(INR)&#10;XXXXXXXXX-18  2017-12-27  11114 "/>
        <s v="GSTIN    -    06AXXXXXXXXB1ZF&#10;Invoice Number Invoice Date IGST Paid(INR)&#10;118  2017-12-27  3647 "/>
        <s v="GSTIN    -    07AXXXXXXXXF1ZU&#10;Invoice Number Invoice Date IGST Paid(INR)&#10;XXXXXXX072  2017-12-26  727153 "/>
        <s v="GSTIN    -    08AXXXXXXXXD1ZM&#10;Invoice Number Invoice Date IGST Paid(INR)&#10;XXXXXXX687  2017-12-28  233780 "/>
        <s v="GSTIN    -    06AXXXXXXXXB1ZF&#10;Invoice Number Invoice Date IGST Paid(INR)&#10;119  2017-12-28  4082 "/>
        <s v="GSTIN    -    02AXXXXXXXXK1ZJ&#10;Invoice Number Invoice Date IGST Paid(INR)&#10;XXXXXXXXXXXXXX-18  2017-12-28  84175 "/>
        <s v="GSTIN    -    08AXXXXXXXXD1ZM&#10;Invoice Number Invoice Date IGST Paid(INR)&#10;XXXXXXX697  2017-12-29  22519 "/>
        <s v="GSTIN    -    07AXXXXXXXXJ1Z1&#10;Invoice Number Invoice Date IGST Paid(INR)&#10;XXXXXXXX/17  2017-12-28  1137 "/>
        <s v="GSTIN    -    06AXXXXXXXXR1Z3&#10;Invoice Number Invoice Date IGST Paid(INR)&#10;XXXXXXXXXXXXXXOL-  2017-12-29  15380 "/>
        <s v="GSTIN    -    07AXXXXXXXXB1ZR&#10;Invoice Number Invoice Date IGST Paid(INR)&#10;XXXXXXXXX-18  2017-12-30  5530 "/>
        <s v="GSTIN    -    07AXXXXXXXXB1ZR&#10;Invoice Number Invoice Date IGST Paid(INR)&#10;XXXXXXXXX-18  2017-12-27  4250 "/>
      </sharedItems>
    </cacheField>
    <cacheField name="Gateway" numFmtId="0">
      <sharedItems>
        <s v="AWB No. Gateway Port Gateway EGM No. Gateway EGM Date Gateway Site ID Error Code&#10;N.A.  INMUN1  137976  2017-11-01 00:00:00.0  INMUN1  S "/>
        <s v="AWB No. Gateway Port Gateway EGM No. Gateway EGM Date Gateway Site ID Error Code&#10;N.A.  INMUN1  131465  2017-07-14 00:00:00.0  INMUN1  S "/>
        <s v="AWB No. Gateway Port Gateway EGM No. Gateway EGM Date Gateway Site ID Error Code&#10;N.A.  INNSA1  N.A.  N.A.  N.A.  N.A. "/>
        <s v="AWB No. Gateway Port Gateway EGM No. Gateway EGM Date Gateway Site ID Error Code&#10;N.A.  INNSA1  132025  2017-07-24 00:00:00.0  INNSA1  S "/>
        <s v="AWB No. Gateway Port Gateway EGM No. Gateway EGM Date Gateway Site ID Error Code&#10;N.A.  INMUN1  132702  2017-08-04 00:00:00.0  INMUN1  S "/>
        <s v="AWB No. Gateway Port Gateway EGM No. Gateway EGM Date Gateway Site ID Error Code&#10;N.A.  INMUN1  134053  2017-08-28 00:00:00.0  INMUN1  ST "/>
        <s v="AWB No. Gateway Port Gateway EGM No. Gateway EGM Date Gateway Site ID Error Code&#10;N.A.  INNSA1  131685  2017-07-18 00:00:00.0  INNSA1  S "/>
        <s v="AWB No. Gateway Port Gateway EGM No. Gateway EGM Date Gateway Site ID Error Code&#10;N.A.  INNSA1  132629  2017-08-03 00:00:00.0  INNSA1  S "/>
        <s v="AWB No. Gateway Port Gateway EGM No. Gateway EGM Date Gateway Site ID Error Code&#10;N.A.  INNSA1  132146  2017-07-26 00:00:00.0  INNSA1  S "/>
        <s v="AWB No. Gateway Port Gateway EGM No. Gateway EGM Date Gateway Site ID Error Code&#10;N.A.  INNSA1  132431  2017-07-31 00:00:00.0  INNSA1  S "/>
        <s v="AWB No. Gateway Port Gateway EGM No. Gateway EGM Date Gateway Site ID Error Code&#10;N.A.  INMUN1  134637  2017-09-06 00:00:00.0  INMUN1  S "/>
        <s v="AWB No. Gateway Port Gateway EGM No. Gateway EGM Date Gateway Site ID Error Code&#10;N.A.  INNSA1  133033  2017-08-10 00:00:00.0  INNSA1  C "/>
        <s v="Please Wait...."/>
        <s v="AWB No. Gateway Port Gateway EGM No. Gateway EGM Date Gateway Site ID Error Code&#10;N.A.  INNSA1  169501  2019-03-29 00:00:00.0  INNSA1  S "/>
        <s v="AWB No. Gateway Port Gateway EGM No. Gateway EGM Date Gateway Site ID Error Code&#10;N.A.  INNSA1  132812  2017-08-07 00:00:00.0  INNSA1  C "/>
        <s v="AWB No. Gateway Port Gateway EGM No. Gateway EGM Date Gateway Site ID Error Code&#10;N.A.  INPAV1  132210  2017-07-26 00:00:00.0  INPAV1  S "/>
        <s v="AWB No. Gateway Port Gateway EGM No. Gateway EGM Date Gateway Site ID Error Code&#10;N.A.  INNSA1  132737  2017-08-04 00:00:00.0  INNSA1  S "/>
        <s v="AWB No. Gateway Port Gateway EGM No. Gateway EGM Date Gateway Site ID Error Code&#10;N.A.  INNSA1  132731  2017-08-04 00:00:00.0  INNSA1  S "/>
        <s v="AWB No. Gateway Port Gateway EGM No. Gateway EGM Date Gateway Site ID Error Code&#10;N.A.  INNSA1  133243  2017-08-14 00:00:00.0  INNSA1  C "/>
        <s v="AWB No. Gateway Port Gateway EGM No. Gateway EGM Date Gateway Site ID Error Code&#10;N.A.  INMUN1  134015  2017-08-28 00:00:00.0  INMUN1  S "/>
        <s v="AWB No. Gateway Port Gateway EGM No. Gateway EGM Date Gateway Site ID Error Code&#10;N.A.  INNSA1  132481  2017-07-31 00:00:00.0  INNSA1  C "/>
        <s v="AWB No. Gateway Port Gateway EGM No. Gateway EGM Date Gateway Site ID Error Code&#10;N.A.  INNSA1  133033  2017-08-10 00:00:00.0  INNSA1  S "/>
        <s v="AWB No. Gateway Port Gateway EGM No. Gateway EGM Date Gateway Site ID Error Code&#10;N.A.  INNSA1  132991  2017-08-09 00:00:00.0  INNSA1  S "/>
        <s v="AWB No. Gateway Port Gateway EGM No. Gateway EGM Date Gateway Site ID Error Code&#10;N.A.  INPAV1  132205  2017-07-26 00:00:00.0  INPAV1  S "/>
        <s v="AWB No. Gateway Port Gateway EGM No. Gateway EGM Date Gateway Site ID Error Code&#10;N.A.  INMUN1  160432  2018-10-31 00:00:00.0  INMUN1  S "/>
        <s v="AWB No. Gateway Port Gateway EGM No. Gateway EGM Date Gateway Site ID Error Code&#10;N.A.  INNSA1  132332  2017-07-28 00:00:00.0  INNSA1  S "/>
        <s v="AWB No. Gateway Port Gateway EGM No. Gateway EGM Date Gateway Site ID Error Code&#10;N.A.  INPAV1  133808  2017-08-24 00:00:00.0  INPAV1  S "/>
        <s v="AWB No. Gateway Port Gateway EGM No. Gateway EGM Date Gateway Site ID Error Code&#10;N.A.  INMUN1  133184  2017-08-11 00:00:00.0  INMUN1  S "/>
        <s v="AWB No. Gateway Port Gateway EGM No. Gateway EGM Date Gateway Site ID Error Code&#10;N.A.  INMUN1  133567  2017-08-18 00:00:00.0  INMUN1  S "/>
        <s v="AWB No. Gateway Port Gateway EGM No. Gateway EGM Date Gateway Site ID Error Code&#10;N.A.  INMUN1  137180  2017-10-18 00:00:00.0  INMUN1  ST "/>
        <s v="AWB No. Gateway Port Gateway EGM No. Gateway EGM Date Gateway Site ID Error Code&#10;N.A.  INMUN1  133566  2017-08-18 00:00:00.0  INMUN1  S "/>
        <s v="AWB No. Gateway Port Gateway EGM No. Gateway EGM Date Gateway Site ID Error Code&#10;N.A.  INNSA1  132938  2017-08-09 00:00:00.0  INNSA1  S "/>
        <s v="AWB No. Gateway Port Gateway EGM No. Gateway EGM Date Gateway Site ID Error Code&#10;N.A.  INMUN1  134053  2017-08-28 00:00:00.0  INMUN1  S "/>
        <s v="No Record found"/>
        <s v="AWB No. Gateway Port Gateway EGM No. Gateway EGM Date Gateway Site ID Error Code&#10;N.A.  INMUN1  N.A.  N.A.  N.A.  N.A. "/>
        <s v="AWB No. Gateway Port Gateway EGM No. Gateway EGM Date Gateway Site ID Error Code&#10;N.A.  INMUN1  134209  2017-08-30 00:00:00.0  INMUN1  NC "/>
        <s v="AWB No. Gateway Port Gateway EGM No. Gateway EGM Date Gateway Site ID Error Code&#10;N.A.  INNSA1  133227  2017-08-14 00:00:00.0  INNSA1  S "/>
        <s v="AWB No. Gateway Port Gateway EGM No. Gateway EGM Date Gateway Site ID Error Code&#10;N.A.  INMUN1  134147  2017-08-29 00:00:00.0  INMUN1  S "/>
        <s v="AWB No. Gateway Port Gateway EGM No. Gateway EGM Date Gateway Site ID Error Code&#10;N.A.  INMUN1  134794  2017-09-08 00:00:00.0  INMUN1  S "/>
        <s v="AWB No. Gateway Port Gateway EGM No. Gateway EGM Date Gateway Site ID Error Code&#10;N.A.  INPAV1  133387  2017-08-16 00:00:00.0  INPAV1  S "/>
        <s v="AWB No. Gateway Port Gateway EGM No. Gateway EGM Date Gateway Site ID Error Code&#10;N.A.  INNSA1  133031  2017-08-10 00:00:00.0  INNSA1  S "/>
        <s v="AWB No. Gateway Port Gateway EGM No. Gateway EGM Date Gateway Site ID Error Code&#10;N.A.  INPAV1  132215  2017-07-26 00:00:00.0  INPAV1  S "/>
        <s v="AWB No. Gateway Port Gateway EGM No. Gateway EGM Date Gateway Site ID Error Code&#10;N.A.  INNSA1  134040  2017-08-28 00:00:00.0  INNSA1  S "/>
        <s v="AWB No. Gateway Port Gateway EGM No. Gateway EGM Date Gateway Site ID Error Code&#10;N.A.  INNSA1  133314  2017-08-16 00:00:00.0  INNSA1  S "/>
        <s v="AWB No. Gateway Port Gateway EGM No. Gateway EGM Date Gateway Site ID Error Code&#10;N.A.  INMUN1  134051  2017-08-28 00:00:00.0  INMUN1  S "/>
        <s v="AWB No. Gateway Port Gateway EGM No. Gateway EGM Date Gateway Site ID Error Code&#10;N.A.  INNSA1  134474  2017-09-04 00:00:00.0  INNSA1  C "/>
        <s v="AWB No. Gateway Port Gateway EGM No. Gateway EGM Date Gateway Site ID Error Code&#10;N.A.  INNSA1  134681  2017-09-07 00:00:00.0  INNSA1  S "/>
        <s v="AWB No. Gateway Port Gateway EGM No. Gateway EGM Date Gateway Site ID Error Code&#10;N.A.  INMUN1  133949  2017-08-26 00:00:00.0  INMUN1  S "/>
        <s v="AWB No. Gateway Port Gateway EGM No. Gateway EGM Date Gateway Site ID Error Code&#10;N.A.  INNSA1  133604  2017-08-19 00:00:00.0  INNSA1  S "/>
        <s v="AWB No. Gateway Port Gateway EGM No. Gateway EGM Date Gateway Site ID Error Code&#10;N.A.  INNSA1  133611  2017-08-21 00:00:00.0  INNSA1  S "/>
        <s v="AWB No. Gateway Port Gateway EGM No. Gateway EGM Date Gateway Site ID Error Code&#10;N.A.  INPAV1  131777  2017-07-19 00:00:00.0  INPAV1  L "/>
        <s v="AWB No. Gateway Port Gateway EGM No. Gateway EGM Date Gateway Site ID Error Code&#10;N.A.  INNSA1  134462  2017-09-04 00:00:00.0  INNSA1  S "/>
        <s v="AWB No. Gateway Port Gateway EGM No. Gateway EGM Date Gateway Site ID Error Code&#10;N.A.  INMUN1  134134  2017-08-29 00:00:00.0  INMUN1  S "/>
        <s v="AWB No. Gateway Port Gateway EGM No. Gateway EGM Date Gateway Site ID Error Code&#10;N.A.  INMUN1  134209  2017-08-30 00:00:00.0  INMUN1  S "/>
        <s v="AWB No. Gateway Port Gateway EGM No. Gateway EGM Date Gateway Site ID Error Code&#10;N.A.  INNSA1  133453  2017-08-17 00:00:00.0  INNSA1  S "/>
        <s v="AWB No. Gateway Port Gateway EGM No. Gateway EGM Date Gateway Site ID Error Code&#10;N.A.  INMUN1  134487  2017-09-04 00:00:00.0  INMUN1  S "/>
        <s v="AWB No. Gateway Port Gateway EGM No. Gateway EGM Date Gateway Site ID Error Code&#10;N.A.  INMUN1  133789  2017-08-23 00:00:00.0  INMUN1  S "/>
        <s v="AWB No. Gateway Port Gateway EGM No. Gateway EGM Date Gateway Site ID Error Code&#10;N.A.  INNSA1  134167  2017-08-29 00:00:00.0  INNSA1  S "/>
        <s v="AWB No. Gateway Port Gateway EGM No. Gateway EGM Date Gateway Site ID Error Code&#10;N.A.  INMUN1  135378  2017-09-19 00:00:00.0  INMUN1  S "/>
        <s v="AWB No. Gateway Port Gateway EGM No. Gateway EGM Date Gateway Site ID Error Code&#10;N.A.  INPAV1  134074  2017-08-28 00:00:00.0  INPAV1  S "/>
        <s v="AWB No. Gateway Port Gateway EGM No. Gateway EGM Date Gateway Site ID Error Code&#10;N.A.  INMUN1  140358  2017-12-08 00:00:00.0  INMUN1  ST "/>
        <s v="AWB No. Gateway Port Gateway EGM No. Gateway EGM Date Gateway Site ID Error Code&#10;N.A.  INMUN1  134796  2017-09-08 00:00:00.0  INMUN1  S "/>
        <s v="AWB No. Gateway Port Gateway EGM No. Gateway EGM Date Gateway Site ID Error Code&#10;N.A.  INMUN1  134795  2017-09-08 00:00:00.0  INMUN1  S "/>
        <s v="AWB No. Gateway Port Gateway EGM No. Gateway EGM Date Gateway Site ID Error Code&#10;N.A.  INPAV1  132218  2017-07-26 00:00:00.0  INPAV1  S "/>
        <s v="AWB No. Gateway Port Gateway EGM No. Gateway EGM Date Gateway Site ID Error Code&#10;N.A.  INPAV1  134066  2017-08-28 00:00:00.0  INPAV1  S "/>
        <s v="AWB No. Gateway Port Gateway EGM No. Gateway EGM Date Gateway Site ID Error Code&#10;N.A.  INMUN1  134406  2017-09-01 00:00:00.0  INMUN1  S "/>
        <s v="AWB No. Gateway Port Gateway EGM No. Gateway EGM Date Gateway Site ID Error Code&#10;N.A.  INMUN1  134923  2017-09-12 00:00:00.0  INMUN1  S "/>
        <s v="AWB No. Gateway Port Gateway EGM No. Gateway EGM Date Gateway Site ID Error Code&#10;N.A.  INMUN1  132131  2017-07-25 00:00:00.0  INMUN1  S "/>
        <s v="AWB No. Gateway Port Gateway EGM No. Gateway EGM Date Gateway Site ID Error Code&#10;N.A.  INNSA1  133327  2017-08-16 00:00:00.0  INNSA1  S "/>
        <s v="AWB No. Gateway Port Gateway EGM No. Gateway EGM Date Gateway Site ID Error Code&#10;N.A.  INNSA1  135507  2017-09-21 00:00:00.0  INNSA1  S "/>
        <s v="AWB No. Gateway Port Gateway EGM No. Gateway EGM Date Gateway Site ID Error Code&#10;N.A.  INPAV1  134495  2017-09-04 00:00:00.0  INPAV1  S "/>
        <s v="AWB No. Gateway Port Gateway EGM No. Gateway EGM Date Gateway Site ID Error Code&#10;N.A.  INMUN1  134870  2017-09-11 00:00:00.0  INMUN1  S "/>
        <s v="AWB No. Gateway Port Gateway EGM No. Gateway EGM Date Gateway Site ID Error Code&#10;N.A.  INPAV1  134667  2017-09-07 00:00:00.0  INMAA1  MC "/>
        <s v="AWB No. Gateway Port Gateway EGM No. Gateway EGM Date Gateway Site ID Error Code&#10;N.A.  INNSA1  137304  2017-10-23 00:00:00.0  INNSA1  S "/>
        <s v="AWB No. Gateway Port Gateway EGM No. Gateway EGM Date Gateway Site ID Error Code&#10;N.A.  INNSA1  134500  2017-09-04 00:00:00.0  INNSA1  STC "/>
        <s v="AWB No. Gateway Port Gateway EGM No. Gateway EGM Date Gateway Site ID Error Code&#10;N.A.  INMUN1  133179  2017-08-11 00:00:00.0  INMUN1  S "/>
        <s v="AWB No. Gateway Port Gateway EGM No. Gateway EGM Date Gateway Site ID Error Code&#10;N.A.  INMUN1  137035  2017-10-16 00:00:00.0  INMUN1  S "/>
        <s v="AWB No. Gateway Port Gateway EGM No. Gateway EGM Date Gateway Site ID Error Code&#10;N.A.  INMUN1  134793  2017-09-08 00:00:00.0  INMUN1  C "/>
        <s v="AWB No. Gateway Port Gateway EGM No. Gateway EGM Date Gateway Site ID Error Code&#10;N.A.  INNSA1  134260  2017-08-31 00:00:00.0  INNSA1  S "/>
        <s v="AWB No. Gateway Port Gateway EGM No. Gateway EGM Date Gateway Site ID Error Code&#10;N.A.  INMUN1  135448  2017-09-20 00:00:00.0  INMUN1  S "/>
        <s v="AWB No. Gateway Port Gateway EGM No. Gateway EGM Date Gateway Site ID Error Code&#10;N.A.  INPAV1  134057  2017-08-28 00:00:00.0  INPAV1  S "/>
        <s v="AWB No. Gateway Port Gateway EGM No. Gateway EGM Date Gateway Site ID Error Code&#10;N.A.  INNSA1  135068  2017-09-14 00:00:00.0  INNSA1  S "/>
        <s v="AWB No. Gateway Port Gateway EGM No. Gateway EGM Date Gateway Site ID Error Code&#10;N.A.  INNSA1  134474  2017-09-04 00:00:00.0  INNSA1  S "/>
        <s v="AWB No. Gateway Port Gateway EGM No. Gateway EGM Date Gateway Site ID Error Code&#10;N.A.  INMUN1  135390  2017-09-19 00:00:00.0  INMUN1  S "/>
        <s v="AWB No. Gateway Port Gateway EGM No. Gateway EGM Date Gateway Site ID Error Code&#10;N.A.  INNSA1  134875  2017-09-11 00:00:00.0  INNSA1  S "/>
        <s v="AWB No. Gateway Port Gateway EGM No. Gateway EGM Date Gateway Site ID Error Code&#10;N.A.  INNSA1  134549  2017-09-05 00:00:00.0  INNSA1  S "/>
        <s v="AWB No. Gateway Port Gateway EGM No. Gateway EGM Date Gateway Site ID Error Code&#10;N.A.  INNSA1  135239  2017-09-18 00:00:00.0  INNSA1  S "/>
        <s v="AWB No. Gateway Port Gateway EGM No. Gateway EGM Date Gateway Site ID Error Code&#10;N.A.  INMUN1  135462  2017-09-20 00:00:00.0  INMUN1  S "/>
        <s v="AWB No. Gateway Port Gateway EGM No. Gateway EGM Date Gateway Site ID Error Code&#10;N.A.  INNSA1  134930  2017-09-12 00:00:00.0  INNSA1  C "/>
        <s v="AWB No. Gateway Port Gateway EGM No. Gateway EGM Date Gateway Site ID Error Code&#10;N.A.  INMUN1  135461  2017-09-20 00:00:00.0  INMUN1  S "/>
        <s v="AWB No. Gateway Port Gateway EGM No. Gateway EGM Date Gateway Site ID Error Code&#10;N.A.  INNSA1  134711  2017-09-07 00:00:00.0  INNSA1  ST "/>
        <s v="AWB No. Gateway Port Gateway EGM No. Gateway EGM Date Gateway Site ID Error Code&#10;N.A.  INNSA1  135192  2017-09-15 00:00:00.0  INNSA1  S "/>
        <s v="AWB No. Gateway Port Gateway EGM No. Gateway EGM Date Gateway Site ID Error Code&#10;N.A.  INNSA1  135086  2017-09-14 00:00:00.0  INNSA1  S "/>
        <s v="AWB No. Gateway Port Gateway EGM No. Gateway EGM Date Gateway Site ID Error Code&#10;N.A.  INNSA1  134938  2017-09-12 00:00:00.0  INNSA1  S "/>
        <s v="AWB No. Gateway Port Gateway EGM No. Gateway EGM Date Gateway Site ID Error Code&#10;N.A.  INNSA1  134766  2017-09-08 00:00:00.0  INNSA1  S "/>
        <s v="AWB No. Gateway Port Gateway EGM No. Gateway EGM Date Gateway Site ID Error Code&#10;N.A.  INNSA1  135065  2017-09-14 00:00:00.0  INNSA1  S "/>
        <s v="AWB No. Gateway Port Gateway EGM No. Gateway EGM Date Gateway Site ID Error Code&#10;N.A.  INMUN1  135995  2017-09-28 00:00:00.0  INMUN1  S "/>
        <s v="AWB No. Gateway Port Gateway EGM No. Gateway EGM Date Gateway Site ID Error Code&#10;N.A.  INPAV1  134063  2017-08-28 00:00:00.0  INPAV1  S "/>
        <s v="AWB No. Gateway Port Gateway EGM No. Gateway EGM Date Gateway Site ID Error Code&#10;N.A.  INMUN1  134211  2017-08-30 00:00:00.0  INMUN1  S "/>
        <s v="AWB No. Gateway Port Gateway EGM No. Gateway EGM Date Gateway Site ID Error Code&#10;N.A.  INMUN1  134919  2017-09-12 00:00:00.0  INMUN1  S "/>
        <s v="AWB No. Gateway Port Gateway EGM No. Gateway EGM Date Gateway Site ID Error Code&#10;N.A.  INNSA1  135503  2017-09-21 00:00:00.0  INNSA1  C "/>
        <s v="AWB No. Gateway Port Gateway EGM No. Gateway EGM Date Gateway Site ID Error Code&#10;N.A.  INNSA1  135603  2017-09-22 00:00:00.0  INNSA1  S "/>
        <s v="AWB No. Gateway Port Gateway EGM No. Gateway EGM Date Gateway Site ID Error Code&#10;N.A.  INMUN1  148326  2018-04-13 00:00:00.0  INMUN1  S "/>
        <s v="AWB No. Gateway Port Gateway EGM No. Gateway EGM Date Gateway Site ID Error Code&#10;N.A.  INNSA1  135349  2017-09-19 00:00:00.0  INNSA1  C "/>
        <s v="AWB No. Gateway Port Gateway EGM No. Gateway EGM Date Gateway Site ID Error Code&#10;N.A.  INMUN1  135887  2017-09-27 00:00:00.0  INMUN1  S "/>
        <s v="AWB No. Gateway Port Gateway EGM No. Gateway EGM Date Gateway Site ID Error Code&#10;N.A.  INMUN1  136169  2017-10-03 00:00:00.0  INMUN1  S "/>
        <s v="AWB No. Gateway Port Gateway EGM No. Gateway EGM Date Gateway Site ID Error Code&#10;N.A.  INNSA1  134741  2017-09-08 00:00:00.0  INNSA1  S "/>
        <s v="AWB No. Gateway Port Gateway EGM No. Gateway EGM Date Gateway Site ID Error Code&#10;N.A.  INNSA1  136236  2017-10-04 00:00:00.0  INNSA1  C "/>
        <s v="AWB No. Gateway Port Gateway EGM No. Gateway EGM Date Gateway Site ID Error Code&#10;N.A.  INMUN1  136501  2017-10-08 00:00:00.0  INMUN1  S "/>
        <s v="AWB No. Gateway Port Gateway EGM No. Gateway EGM Date Gateway Site ID Error Code&#10;N.A.  INNSA1  136144  2017-10-03 00:00:00.0  INNSA1  C "/>
        <s v="AWB No. Gateway Port Gateway EGM No. Gateway EGM Date Gateway Site ID Error Code&#10;N.A.  INNSA1  135731  2017-09-25 00:00:00.0  INNSA1  S "/>
        <s v="AWB No. Gateway Port Gateway EGM No. Gateway EGM Date Gateway Site ID Error Code&#10;N.A.  INNSA1  135726  2017-09-25 00:00:00.0  INNSA1  S "/>
        <s v="AWB No. Gateway Port Gateway EGM No. Gateway EGM Date Gateway Site ID Error Code&#10;N.A.  INMUN1  136070  2017-09-29 00:00:00.0  INMUN1  S "/>
        <s v="AWB No. Gateway Port Gateway EGM No. Gateway EGM Date Gateway Site ID Error Code&#10;N.A.  INNSA1  135331  2017-09-19 00:00:00.0  INNSA1  S "/>
        <s v="AWB No. Gateway Port Gateway EGM No. Gateway EGM Date Gateway Site ID Error Code&#10;N.A.  INMUN1  134212  2017-08-30 00:00:00.0  INMUN1  S "/>
        <s v="AWB No. Gateway Port Gateway EGM No. Gateway EGM Date Gateway Site ID Error Code&#10;N.A.  INNSA1  134677  2017-09-07 00:00:00.0  INNSA1  S "/>
        <s v="AWB No. Gateway Port Gateway EGM No. Gateway EGM Date Gateway Site ID Error Code&#10;N.A.  INMUN1  135372  2017-09-19 00:00:00.0  INMUN1  S "/>
        <s v="AWB No. Gateway Port Gateway EGM No. Gateway EGM Date Gateway Site ID Error Code&#10;N.A.  INMUN1  139832  2017-11-30 00:00:00.0  INMUN1  S "/>
        <s v="AWB No. Gateway Port Gateway EGM No. Gateway EGM Date Gateway Site ID Error Code&#10;N.A.  INMUN1  137768  2017-10-28 00:00:00.0  INMUN1  S "/>
        <s v="AWB No. Gateway Port Gateway EGM No. Gateway EGM Date Gateway Site ID Error Code&#10;N.A.  INNSA1  136158  2017-10-03 00:00:00.0  INNSA1  S "/>
        <s v="AWB No. Gateway Port Gateway EGM No. Gateway EGM Date Gateway Site ID Error Code&#10;N.A.  INMUN1  136519  2017-10-09 00:00:00.0  INMUN1  S "/>
        <s v="AWB No. Gateway Port Gateway EGM No. Gateway EGM Date Gateway Site ID Error Code&#10;N.A.  INNSA1  136238  2017-10-04 00:00:00.0  INNSA1  S "/>
        <s v="AWB No. Gateway Port Gateway EGM No. Gateway EGM Date Gateway Site ID Error Code&#10;N.A.  INNSA1  136898  2017-10-13 00:00:00.0  INNSA1  S "/>
        <s v="AWB No. Gateway Port Gateway EGM No. Gateway EGM Date Gateway Site ID Error Code&#10;N.A.  INMUN1  135373  2017-09-19 00:00:00.0  INMUN1  S "/>
        <s v="AWB No. Gateway Port Gateway EGM No. Gateway EGM Date Gateway Site ID Error Code&#10;N.A.  INNSA1  135755  2017-09-25 00:00:00.0  INNSA1  NC "/>
        <s v="AWB No. Gateway Port Gateway EGM No. Gateway EGM Date Gateway Site ID Error Code&#10;N.A.  INMUN1  136071  2017-09-29 00:00:00.0  INMUN1  S "/>
        <s v="AWB No. Gateway Port Gateway EGM No. Gateway EGM Date Gateway Site ID Error Code&#10;N.A.  INNSA1  135119  2017-09-14 00:00:00.0  INNSA1  S "/>
        <s v="AWB No. Gateway Port Gateway EGM No. Gateway EGM Date Gateway Site ID Error Code&#10;N.A.  INMUN1  136518  2017-10-09 00:00:00.0  INMUN1  S "/>
        <s v="AWB No. Gateway Port Gateway EGM No. Gateway EGM Date Gateway Site ID Error Code&#10;N.A.  INNSA1  136163  2017-10-03 00:00:00.0  INNSA1  C "/>
        <s v="AWB No. Gateway Port Gateway EGM No. Gateway EGM Date Gateway Site ID Error Code&#10;N.A.  INNSA1  135895  2017-09-27 00:00:00.0  INNSA1  S "/>
        <s v="AWB No. Gateway Port Gateway EGM No. Gateway EGM Date Gateway Site ID Error Code&#10;N.A.  INNSA1  135126  2017-09-14 00:00:00.0  INNSA1  S "/>
        <s v="AWB No. Gateway Port Gateway EGM No. Gateway EGM Date Gateway Site ID Error Code&#10;N.A.  INNSA1  136252  2017-10-04 00:00:00.0  INNSA1  S "/>
        <s v="AWB No. Gateway Port Gateway EGM No. Gateway EGM Date Gateway Site ID Error Code&#10;N.A.  INNSA1  137096  2017-10-17 00:00:00.0  INNSA1  C "/>
        <s v="AWB No. Gateway Port Gateway EGM No. Gateway EGM Date Gateway Site ID Error Code&#10;N.A.  INMUN1  140361  2017-12-08 00:00:00.0  INMUN1  S "/>
        <s v="AWB No. Gateway Port Gateway EGM No. Gateway EGM Date Gateway Site ID Error Code&#10;N.A.  INMUN1  136910  2017-10-13 00:00:00.0  INMUN1  S "/>
        <s v="AWB No. Gateway Port Gateway EGM No. Gateway EGM Date Gateway Site ID Error Code&#10;N.A.  INMUN1  138865  2017-11-15 00:00:00.0  INMUN1  S "/>
        <s v="AWB No. Gateway Port Gateway EGM No. Gateway EGM Date Gateway Site ID Error Code&#10;N.A.  INNSA1  137147  2017-10-18 00:00:00.0  INNSA1  S "/>
        <s v="AWB No. Gateway Port Gateway EGM No. Gateway EGM Date Gateway Site ID Error Code&#10;N.A.  INNSA1  136648  2017-10-10 00:00:00.0  INNSA1  C "/>
        <s v="AWB No. Gateway Port Gateway EGM No. Gateway EGM Date Gateway Site ID Error Code&#10;N.A.  INNSA1  136123  2017-10-02 00:00:00.0  INNSA1  S "/>
        <s v="AWB No. Gateway Port Gateway EGM No. Gateway EGM Date Gateway Site ID Error Code&#10;N.A.  INNSA1  136151  2017-10-03 00:00:00.0  INNSA1  S "/>
        <s v="AWB No. Gateway Port Gateway EGM No. Gateway EGM Date Gateway Site ID Error Code&#10;N.A.  INNSA1  136204  2017-10-03 00:00:00.0  INNSA1  S "/>
        <s v="AWB No. Gateway Port Gateway EGM No. Gateway EGM Date Gateway Site ID Error Code&#10;N.A.  INNSA1  136637  2017-10-10 00:00:00.0  INNSA1  C "/>
        <s v="AWB No. Gateway Port Gateway EGM No. Gateway EGM Date Gateway Site ID Error Code&#10;N.A.  INNSA1  138138  2017-11-03 00:00:00.0  INNSA1  C "/>
        <s v="AWB No. Gateway Port Gateway EGM No. Gateway EGM Date Gateway Site ID Error Code&#10;N.A.  INPAV1  137330  2017-10-23 00:00:00.0  INPAV1  S "/>
        <s v="AWB No. Gateway Port Gateway EGM No. Gateway EGM Date Gateway Site ID Error Code&#10;N.A.  INMUN1  137020  2017-10-16 00:00:00.0  INMUN1  S "/>
        <s v="AWB No. Gateway Port Gateway EGM No. Gateway EGM Date Gateway Site ID Error Code&#10;N.A.  INMUN1  137857  2017-10-30 00:00:00.0  INMUN1  S "/>
        <s v="AWB No. Gateway Port Gateway EGM No. Gateway EGM Date Gateway Site ID Error Code&#10;N.A.  INNSA1  136639  2017-10-10 00:00:00.0  INNSA1  S "/>
        <s v="AWB No. Gateway Port Gateway EGM No. Gateway EGM Date Gateway Site ID Error Code&#10;N.A.  INMUN1  137573  2017-10-25 00:00:00.0  INMUN1  S "/>
        <s v="AWB No. Gateway Port Gateway EGM No. Gateway EGM Date Gateway Site ID Error Code&#10;N.A.  INMUN1  137953  2017-11-01 00:00:00.0  INMUN1  S "/>
        <s v="AWB No. Gateway Port Gateway EGM No. Gateway EGM Date Gateway Site ID Error Code&#10;N.A.  INNSA1  137147  2017-10-18 00:00:00.0  INNSA1  C "/>
        <s v="AWB No. Gateway Port Gateway EGM No. Gateway EGM Date Gateway Site ID Error Code&#10;N.A.  INNSA1  138449  2017-11-09 00:00:00.0  INNSA1  S "/>
        <s v="AWB No. Gateway Port Gateway EGM No. Gateway EGM Date Gateway Site ID Error Code&#10;N.A.  INPAV1  138356  2017-11-07 00:00:00.0  INPAV1  S "/>
        <s v="AWB No. Gateway Port Gateway EGM No. Gateway EGM Date Gateway Site ID Error Code&#10;N.A.  INNSA1  137367  2017-10-23 00:00:00.0  INNSA1  S "/>
        <s v="AWB No. Gateway Port Gateway EGM No. Gateway EGM Date Gateway Site ID Error Code&#10;N.A.  INNSA1  137969  2017-11-01 00:00:00.0  INNSA1  C "/>
        <s v="AWB No. Gateway Port Gateway EGM No. Gateway EGM Date Gateway Site ID Error Code&#10;N.A.  INNSA1  138138  2017-11-03 00:00:00.0  INNSA1  S "/>
        <s v="AWB No. Gateway Port Gateway EGM No. Gateway EGM Date Gateway Site ID Error Code&#10;N.A.  INNSA1  137453  2017-10-24 00:00:00.0  INNSA1  C "/>
        <s v="AWB No. Gateway Port Gateway EGM No. Gateway EGM Date Gateway Site ID Error Code&#10;N.A.  INMUN1  139244  2017-11-21 00:00:00.0  INMUN1  S "/>
        <s v="AWB No. Gateway Port Gateway EGM No. Gateway EGM Date Gateway Site ID Error Code&#10;N.A.  INNSA1  137348  2017-10-23 00:00:00.0  INNSA1  S "/>
        <s v="AWB No. Gateway Port Gateway EGM No. Gateway EGM Date Gateway Site ID Error Code&#10;N.A.  INNSA1  137366  2017-10-23 00:00:00.0  INNSA1  S "/>
        <s v="AWB No. Gateway Port Gateway EGM No. Gateway EGM Date Gateway Site ID Error Code&#10;N.A.  INNSA1  137830  2017-10-30 00:00:00.0  INNSA1  S "/>
        <s v="AWB No. Gateway Port Gateway EGM No. Gateway EGM Date Gateway Site ID Error Code&#10;N.A.  INNSA1  138455  2017-11-09 00:00:00.0  INNSA1  S "/>
        <s v="AWB No. Gateway Port Gateway EGM No. Gateway EGM Date Gateway Site ID Error Code&#10;N.A.  INNSA1  138732  2017-11-14 00:00:00.0  INNSA1  S "/>
        <s v="AWB No. Gateway Port Gateway EGM No. Gateway EGM Date Gateway Site ID Error Code&#10;N.A.  INNSA1  137889  2017-10-31 00:00:00.0  INNSA1  S "/>
        <s v="AWB No. Gateway Port Gateway EGM No. Gateway EGM Date Gateway Site ID Error Code&#10;N.A.  INNSA1  138837  2017-11-15 00:00:00.0  INNSA1  S "/>
        <s v="AWB No. Gateway Port Gateway EGM No. Gateway EGM Date Gateway Site ID Error Code&#10;N.A.  INMUN1  140630  2017-12-13 00:00:00.0  INMUN1  S "/>
        <s v="AWB No. Gateway Port Gateway EGM No. Gateway EGM Date Gateway Site ID Error Code&#10;N.A.  INMUN1  138363  2017-11-07 00:00:00.0  INMUN1  S "/>
        <s v="AWB No. Gateway Port Gateway EGM No. Gateway EGM Date Gateway Site ID Error Code&#10;N.A.  INNSA1  137353  2017-10-23 00:00:00.0  INNSA1  C "/>
        <s v="AWB No. Gateway Port Gateway EGM No. Gateway EGM Date Gateway Site ID Error Code&#10;N.A.  INMUN1  137950  2017-11-01 00:00:00.0  INMUN1  S "/>
        <s v="AWB No. Gateway Port Gateway EGM No. Gateway EGM Date Gateway Site ID Error Code&#10;N.A.  INMUN1  141255  2017-12-23 00:00:00.0  INMUN1  S "/>
        <s v="AWB No. Gateway Port Gateway EGM No. Gateway EGM Date Gateway Site ID Error Code&#10;N.A.  INMUN1  151099  2018-05-28 00:00:00.0  INMUN1  S "/>
        <s v="AWB No. Gateway Port Gateway EGM No. Gateway EGM Date Gateway Site ID Error Code&#10;N.A.  INNSA1  137370  2017-10-23 00:00:00.0  INNSA1  C "/>
        <s v="AWB No. Gateway Port Gateway EGM No. Gateway EGM Date Gateway Site ID Error Code&#10;N.A.  INNSA1  138710  2017-11-13 00:00:00.0  INNSA1  S "/>
        <s v="AWB No. Gateway Port Gateway EGM No. Gateway EGM Date Gateway Site ID Error Code&#10;N.A.  INMUN1  139000  2017-11-17 00:00:00.0  INMUN1  S "/>
        <s v="AWB No. Gateway Port Gateway EGM No. Gateway EGM Date Gateway Site ID Error Code&#10;N.A.  INMUN1  138685  2017-11-13 00:00:00.0  INMUN1  S "/>
        <s v="AWB No. Gateway Port Gateway EGM No. Gateway EGM Date Gateway Site ID Error Code&#10;N.A.  INPAV1  137989  2017-11-01 00:00:00.0  INPAV1  S "/>
        <s v="AWB No. Gateway Port Gateway EGM No. Gateway EGM Date Gateway Site ID Error Code&#10;N.A.  INMUN1  139245  2017-11-21 00:00:00.0  INMUN1  S "/>
        <s v="AWB No. Gateway Port Gateway EGM No. Gateway EGM Date Gateway Site ID Error Code&#10;N.A.  INMUN1  139240  2017-11-21 00:00:00.0  INMUN1  S "/>
        <s v="AWB No. Gateway Port Gateway EGM No. Gateway EGM Date Gateway Site ID Error Code&#10;N.A.  INNSA1  139142  2017-11-20 00:00:00.0  INNSA1  S "/>
        <s v="AWB No. Gateway Port Gateway EGM No. Gateway EGM Date Gateway Site ID Error Code&#10;N.A.  INNSA1  137386  2017-10-23 00:00:00.0  INNSA1  S "/>
        <s v="AWB No. Gateway Port Gateway EGM No. Gateway EGM Date Gateway Site ID Error Code&#10;N.A.  INMUN1  140712  2017-12-15 00:00:00.0  INMUN1  S "/>
        <s v="AWB No. Gateway Port Gateway EGM No. Gateway EGM Date Gateway Site ID Error Code&#10;N.A.  INPAV1  137999  2017-11-01 00:00:00.0  INPAV1  S "/>
        <s v="AWB No. Gateway Port Gateway EGM No. Gateway EGM Date Gateway Site ID Error Code&#10;N.A.  INNSA1  138641  2017-11-13 00:00:00.0  INNSA1  S "/>
        <s v="AWB No. Gateway Port Gateway EGM No. Gateway EGM Date Gateway Site ID Error Code&#10;N.A.  INMUN1  139344  2017-11-22 00:00:00.0  INMUN1  S "/>
        <s v="AWB No. Gateway Port Gateway EGM No. Gateway EGM Date Gateway Site ID Error Code&#10;N.A.  INNSA1  139138  2017-11-20 00:00:00.0  INNSA1  S "/>
        <s v="AWB No. Gateway Port Gateway EGM No. Gateway EGM Date Gateway Site ID Error Code&#10;N.A.  INNSA1  138478  2017-11-09 00:00:00.0  INNSA1  S "/>
        <s v="AWB No. Gateway Port Gateway EGM No. Gateway EGM Date Gateway Site ID Error Code&#10;N.A.  INMUN1  139513  2017-11-24 00:00:00.0  INMUN1  S "/>
        <s v="AWB No. Gateway Port Gateway EGM No. Gateway EGM Date Gateway Site ID Error Code&#10;N.A.  INMUN1  140625  2017-12-13 00:00:00.0  INMUN1  S "/>
        <s v="AWB No. Gateway Port Gateway EGM No. Gateway EGM Date Gateway Site ID Error Code&#10;N.A.  INNSA1  139301  2017-11-22 00:00:00.0  INNSA1  S "/>
        <s v="AWB No. Gateway Port Gateway EGM No. Gateway EGM Date Gateway Site ID Error Code&#10;N.A.  INMUN1  140199  2017-12-06 00:00:00.0  INMUN1  S "/>
        <s v="AWB No. Gateway Port Gateway EGM No. Gateway EGM Date Gateway Site ID Error Code&#10;N.A.  INNSA1  139557  2017-11-27 00:00:00.0  INNSA1  S "/>
        <s v="AWB No. Gateway Port Gateway EGM No. Gateway EGM Date Gateway Site ID Error Code&#10;N.A.  INNSA1  139647  2017-11-28 00:00:00.0  INNSA1  S "/>
        <s v="AWB No. Gateway Port Gateway EGM No. Gateway EGM Date Gateway Site ID Error Code&#10;N.A.  INNSA1  139757  2017-11-29 00:00:00.0  INNSA1  S "/>
        <s v="AWB No. Gateway Port Gateway EGM No. Gateway EGM Date Gateway Site ID Error Code&#10;N.A.  INMUN1  141045  2017-12-20 00:00:00.0  INMUN1  S "/>
        <s v="AWB No. Gateway Port Gateway EGM No. Gateway EGM Date Gateway Site ID Error Code&#10;N.A.  INNSA1  138234  2017-11-06 00:00:00.0  INNSA1  S "/>
        <s v="AWB No. Gateway Port Gateway EGM No. Gateway EGM Date Gateway Site ID Error Code&#10;N.A.  INNSA1  139773  2017-11-29 00:00:00.0  INNSA1  S "/>
        <s v="AWB No. Gateway Port Gateway EGM No. Gateway EGM Date Gateway Site ID Error Code&#10;N.A.  INMUN1  138172  2017-11-03 00:00:00.0  INMUN1  S "/>
        <s v="AWB No. Gateway Port Gateway EGM No. Gateway EGM Date Gateway Site ID Error Code&#10;N.A.  INPAV1  139653  2017-11-28 00:00:00.0  INPAV1  S "/>
        <s v="AWB No. Gateway Port Gateway EGM No. Gateway EGM Date Gateway Site ID Error Code&#10;N.A.  INMUN1  138681  2017-11-13 00:00:00.0  INMUN1  S "/>
        <s v="AWB No. Gateway Port Gateway EGM No. Gateway EGM Date Gateway Site ID Error Code&#10;N.A.  INMUN1  138991  2017-11-17 00:00:00.0  INMUN1  S "/>
        <s v="AWB No. Gateway Port Gateway EGM No. Gateway EGM Date Gateway Site ID Error Code&#10;N.A.  INMUN1  140232  2017-12-07 00:00:00.0  INMUN1  S "/>
        <s v="AWB No. Gateway Port Gateway EGM No. Gateway EGM Date Gateway Site ID Error Code&#10;N.A.  INNSA1  139792  2017-11-30 00:00:00.0  INNSA1  S "/>
        <s v="AWB No. Gateway Port Gateway EGM No. Gateway EGM Date Gateway Site ID Error Code&#10;N.A.  INPAV1  139963  2017-12-04 00:00:00.0  INPAV1  S "/>
        <s v="AWB No. Gateway Port Gateway EGM No. Gateway EGM Date Gateway Site ID Error Code&#10;N.A.  INMUN1  140925  2017-12-19 00:00:00.0  INMUN1  S "/>
        <s v="AWB No. Gateway Port Gateway EGM No. Gateway EGM Date Gateway Site ID Error Code&#10;N.A.  INNSA1  140047  2017-12-05 00:00:00.0  INNSA1  S "/>
        <s v="AWB No. Gateway Port Gateway EGM No. Gateway EGM Date Gateway Site ID Error Code&#10;N.A.  INNSA1  140041  2017-12-05 00:00:00.0  INNSA1  S "/>
        <s v="AWB No. Gateway Port Gateway EGM No. Gateway EGM Date Gateway Site ID Error Code&#10;N.A.  INMUN1  139070  2017-11-17 00:00:00.0  INMUN1  S "/>
        <s v="AWB No. Gateway Port Gateway EGM No. Gateway EGM Date Gateway Site ID Error Code&#10;N.A.  INNSA1  139999  2017-12-04 00:00:00.0  INNSA1  S "/>
        <s v="AWB No. Gateway Port Gateway EGM No. Gateway EGM Date Gateway Site ID Error Code&#10;N.A.  INNSA1  138232  2017-11-06 00:00:00.0  INNSA1  N "/>
        <s v="AWB No. Gateway Port Gateway EGM No. Gateway EGM Date Gateway Site ID Error Code&#10;N.A.  INNSA1  140472  2017-12-12 00:00:00.0  INNSA1  S "/>
        <s v="AWB No. Gateway Port Gateway EGM No. Gateway EGM Date Gateway Site ID Error Code&#10;N.A.  INNSA1  139986  2017-12-04 00:00:00.0  INNSA1  S "/>
        <s v="AWB No. Gateway Port Gateway EGM No. Gateway EGM Date Gateway Site ID Error Code&#10;N.A.  INMUN1  140703  2017-12-14 00:00:00.0  INMUN1  S "/>
        <s v="AWB No. Gateway Port Gateway EGM No. Gateway EGM Date Gateway Site ID Error Code&#10;N.A.  INMUN1  140290  2017-12-07 00:00:00.0  INMUN1  S "/>
        <s v="AWB No. Gateway Port Gateway EGM No. Gateway EGM Date Gateway Site ID Error Code&#10;N.A.  INNSA1  140726  2017-12-15 00:00:00.0  INNSA1  C "/>
        <s v="AWB No. Gateway Port Gateway EGM No. Gateway EGM Date Gateway Site ID Error Code&#10;N.A.  INPAV1  140083  2017-12-05 00:00:00.0  INPAV1  S "/>
        <s v="AWB No. Gateway Port Gateway EGM No. Gateway EGM Date Gateway Site ID Error Code&#10;N.A.  INNSA1  140677  2017-12-14 00:00:00.0  INNSA1  S "/>
        <s v="AWB No. Gateway Port Gateway EGM No. Gateway EGM Date Gateway Site ID Error Code&#10;N.A.  INNSA1  140365  2017-12-08 00:00:00.0  INNSA1  N "/>
        <s v="AWB No. Gateway Port Gateway EGM No. Gateway EGM Date Gateway Site ID Error Code&#10;N.A.  INMUN1  141077  2017-12-21 00:00:00.0  INMUN1  S "/>
        <s v="AWB No. Gateway Port Gateway EGM No. Gateway EGM Date Gateway Site ID Error Code&#10;N.A.  INPAV1  139966  2017-12-04 00:00:00.0  INPAV1  S "/>
        <s v="AWB No. Gateway Port Gateway EGM No. Gateway EGM Date Gateway Site ID Error Code&#10;N.A.  INMUN1  141426  2017-12-27 00:00:00.0  INMUN1  S "/>
        <s v="AWB No. Gateway Port Gateway EGM No. Gateway EGM Date Gateway Site ID Error Code&#10;N.A.  INPAV1  140831  2017-12-18 00:00:00.0  INPAV1  S "/>
        <s v="AWB No. Gateway Port Gateway EGM No. Gateway EGM Date Gateway Site ID Error Code&#10;N.A.  INMUN1  140930  2017-12-19 00:00:00.0  INMUN1  S "/>
        <s v="AWB No. Gateway Port Gateway EGM No. Gateway EGM Date Gateway Site ID Error Code&#10;N.A.  INMUN1  140931  2017-12-19 00:00:00.0  INMUN1  S "/>
        <s v="AWB No. Gateway Port Gateway EGM No. Gateway EGM Date Gateway Site ID Error Code&#10;N.A.  INNSA1  138758  2017-11-14 00:00:00.0  INNSA1  S "/>
        <s v="AWB No. Gateway Port Gateway EGM No. Gateway EGM Date Gateway Site ID Error Code&#10;N.A.  INNSA1  140487  2017-12-12 00:00:00.0  INNSA1  S "/>
        <s v="AWB No. Gateway Port Gateway EGM No. Gateway EGM Date Gateway Site ID Error Code&#10;N.A.  INNSA1  140586  2017-12-12 00:00:00.0  INNSA1  S "/>
        <s v="AWB No. Gateway Port Gateway EGM No. Gateway EGM Date Gateway Site ID Error Code&#10;N.A.  INNSA1  140402  2017-12-11 00:00:00.0  INNSA1  S "/>
        <s v="AWB No. Gateway Port Gateway EGM No. Gateway EGM Date Gateway Site ID Error Code&#10;N.A.  INNSA1  141463  2017-12-27 00:00:00.0  INNSA1  S "/>
        <s v="AWB No. Gateway Port Gateway EGM No. Gateway EGM Date Gateway Site ID Error Code&#10;N.A.  INMUN1  141297  2017-12-26 00:00:00.0  INMUN1  S "/>
        <s v="AWB No. Gateway Port Gateway EGM No. Gateway EGM Date Gateway Site ID Error Code&#10;N.A.  INNSA1  141039  2017-12-20 00:00:00.0  INNSA1  S "/>
        <s v="AWB No. Gateway Port Gateway EGM No. Gateway EGM Date Gateway Site ID Error Code&#10;N.A.  INNSA1  141083  2017-12-21 00:00:00.0  INNSA1  C "/>
        <s v="AWB No. Gateway Port Gateway EGM No. Gateway EGM Date Gateway Site ID Error Code&#10;N.A.  INNSA1  140724  2017-12-15 00:00:00.0  INNSA1  S "/>
        <s v="AWB No. Gateway Port Gateway EGM No. Gateway EGM Date Gateway Site ID Error Code&#10;N.A.  INNSA1  141344  2017-12-26 00:00:00.0  INNSA1  C "/>
        <s v="AWB No. Gateway Port Gateway EGM No. Gateway EGM Date Gateway Site ID Error Code&#10;N.A.  INMUN1  141756  2018-01-02 00:00:00.0  INMUN1  S "/>
        <s v="AWB No. Gateway Port Gateway EGM No. Gateway EGM Date Gateway Site ID Error Code&#10;N.A.  INNSA1  141116  2017-12-21 00:00:00.0  INNSA1  S "/>
        <s v="AWB No. Gateway Port Gateway EGM No. Gateway EGM Date Gateway Site ID Error Code&#10;N.A.  INMUN1  140648  2017-12-13 00:00:00.0  INMUN1  S "/>
        <s v="AWB No. Gateway Port Gateway EGM No. Gateway EGM Date Gateway Site ID Error Code&#10;N.A.  INMUN1  141078  2017-12-21 00:00:00.0  INMUN1  S "/>
        <s v="AWB No. Gateway Port Gateway EGM No. Gateway EGM Date Gateway Site ID Error Code&#10;N.A.  INMUN1  141502  2017-12-27 00:00:00.0  INMUN1  S "/>
        <s v="AWB No. Gateway Port Gateway EGM No. Gateway EGM Date Gateway Site ID Error Code&#10;N.A.  INMUN1  141142  2017-12-21 00:00:00.0  INMUN1  S "/>
        <s v="AWB No. Gateway Port Gateway EGM No. Gateway EGM Date Gateway Site ID Error Code&#10;N.A.  INMUN1  141855  2018-01-03 00:00:00.0  INMUN1  S "/>
        <s v="AWB No. Gateway Port Gateway EGM No. Gateway EGM Date Gateway Site ID Error Code&#10;N.A.  INMUN1  141901  2018-01-03 00:00:00.0  INMUN1  S "/>
        <s v="AWB No. Gateway Port Gateway EGM No. Gateway EGM Date Gateway Site ID Error Code&#10;N.A.  INMUN1  142133  2018-01-08 00:00:00.0  INMUN1  S "/>
        <s v="AWB No. Gateway Port Gateway EGM No. Gateway EGM Date Gateway Site ID Error Code&#10;N.A.  INMUN1  141230  2017-12-22 00:00:00.0  INMUN1  S "/>
        <s v="AWB No. Gateway Port Gateway EGM No. Gateway EGM Date Gateway Site ID Error Code&#10;N.A.  INNSA1  141394  2017-12-26 00:00:00.0  INNSA1  S "/>
        <s v="AWB No. Gateway Port Gateway EGM No. Gateway EGM Date Gateway Site ID Error Code&#10;N.A.  INMUN1  143166  2018-01-23 00:00:00.0  INMUN1  S "/>
        <s v="AWB No. Gateway Port Gateway EGM No. Gateway EGM Date Gateway Site ID Error Code&#10;N.A.  INMUN1  142479  2018-01-12 00:00:00.0  INMUN1  S "/>
        <s v="AWB No. Gateway Port Gateway EGM No. Gateway EGM Date Gateway Site ID Error Code&#10;N.A.  INMUN1  141264  2017-12-23 00:00:00.0  INMUN1  S "/>
        <s v="AWB No. Gateway Port Gateway EGM No. Gateway EGM Date Gateway Site ID Error Code&#10;N.A.  INNSA1  142173  2018-01-08 00:00:00.0  INNSA1  S "/>
        <s v="AWB No. Gateway Port Gateway EGM No. Gateway EGM Date Gateway Site ID Error Code&#10;N.A.  INPAV1  141634  2017-12-29 00:00:00.0  INPAV1  S "/>
        <s v="AWB No. Gateway Port Gateway EGM No. Gateway EGM Date Gateway Site ID Error Code&#10;N.A.  INMUN1  141770  2018-01-02 00:00:00.0  INMUN1  S "/>
        <s v="AWB No. Gateway Port Gateway EGM No. Gateway EGM Date Gateway Site ID Error Code&#10;N.A.  INNSA1  141170  2017-12-22 00:00:00.0  INNSA1  S "/>
        <s v="AWB No. Gateway Port Gateway EGM No. Gateway EGM Date Gateway Site ID Error Code&#10;N.A.  INMUN1  142204  2018-01-09 00:00:00.0  INMUN1  S "/>
        <s v="AWB No. Gateway Port Gateway EGM No. Gateway EGM Date Gateway Site ID Error Code&#10;N.A.  INMUN1  141231  2017-12-22 00:00:00.0  INMUN1  S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Port_Gateway" cacheId="0" dataCaption="" compact="0" compactData="0">
  <location ref="A3:C257" firstHeaderRow="0" firstDataRow="2" firstDataCol="0" rowPageCount="1" colPageCount="1"/>
  <pivotFields>
    <pivotField name="PORT Code" axis="axisRow" compact="0" outline="0" multipleItemSelectionAllowed="1" showAll="0" sortType="ascending">
      <items>
        <item x="0"/>
        <item t="default"/>
      </items>
    </pivotField>
    <pivotField name="SB 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t="default"/>
      </items>
    </pivotField>
    <pivotField name="SB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t="default"/>
      </items>
    </pivotField>
    <pivotField name="Current status"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EGM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t="default"/>
      </items>
    </pivotField>
    <pivotField name="ROS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Gateway" axis="axisRow" compact="0" outline="0" multipleItemSelectionAllowed="1" showAll="0" sortType="ascending">
      <items>
        <item x="1"/>
        <item x="67"/>
        <item x="4"/>
        <item x="75"/>
        <item x="27"/>
        <item x="30"/>
        <item x="28"/>
        <item x="56"/>
        <item x="47"/>
        <item x="19"/>
        <item x="44"/>
        <item x="32"/>
        <item x="5"/>
        <item x="52"/>
        <item x="37"/>
        <item x="35"/>
        <item x="53"/>
        <item x="98"/>
        <item x="114"/>
        <item x="65"/>
        <item x="55"/>
        <item x="10"/>
        <item x="77"/>
        <item x="38"/>
        <item x="62"/>
        <item x="61"/>
        <item x="71"/>
        <item x="99"/>
        <item x="66"/>
        <item x="116"/>
        <item x="123"/>
        <item x="58"/>
        <item x="83"/>
        <item x="79"/>
        <item x="89"/>
        <item x="87"/>
        <item x="104"/>
        <item x="96"/>
        <item x="112"/>
        <item x="125"/>
        <item x="105"/>
        <item x="108"/>
        <item x="127"/>
        <item x="120"/>
        <item x="134"/>
        <item x="144"/>
        <item x="76"/>
        <item x="29"/>
        <item x="147"/>
        <item x="118"/>
        <item x="145"/>
        <item x="167"/>
        <item x="148"/>
        <item x="0"/>
        <item x="195"/>
        <item x="165"/>
        <item x="197"/>
        <item x="173"/>
        <item x="135"/>
        <item x="198"/>
        <item x="172"/>
        <item x="205"/>
        <item x="176"/>
        <item x="156"/>
        <item x="175"/>
        <item x="182"/>
        <item x="185"/>
        <item x="117"/>
        <item x="188"/>
        <item x="199"/>
        <item x="211"/>
        <item x="60"/>
        <item x="133"/>
        <item x="186"/>
        <item x="164"/>
        <item x="234"/>
        <item x="210"/>
        <item x="179"/>
        <item x="202"/>
        <item x="220"/>
        <item x="221"/>
        <item x="192"/>
        <item x="216"/>
        <item x="235"/>
        <item x="237"/>
        <item x="241"/>
        <item x="251"/>
        <item x="168"/>
        <item x="245"/>
        <item x="227"/>
        <item x="218"/>
        <item x="236"/>
        <item x="232"/>
        <item x="248"/>
        <item x="238"/>
        <item x="239"/>
        <item x="240"/>
        <item x="250"/>
        <item x="244"/>
        <item x="243"/>
        <item x="102"/>
        <item x="169"/>
        <item x="24"/>
        <item x="34"/>
        <item x="6"/>
        <item x="3"/>
        <item x="8"/>
        <item x="25"/>
        <item x="9"/>
        <item x="20"/>
        <item x="7"/>
        <item x="17"/>
        <item x="16"/>
        <item x="14"/>
        <item x="31"/>
        <item x="22"/>
        <item x="40"/>
        <item x="11"/>
        <item x="21"/>
        <item x="36"/>
        <item x="18"/>
        <item x="43"/>
        <item x="68"/>
        <item x="54"/>
        <item x="48"/>
        <item x="49"/>
        <item x="42"/>
        <item x="57"/>
        <item x="78"/>
        <item x="51"/>
        <item x="45"/>
        <item x="82"/>
        <item x="74"/>
        <item x="85"/>
        <item x="115"/>
        <item x="46"/>
        <item x="90"/>
        <item x="106"/>
        <item x="94"/>
        <item x="84"/>
        <item x="88"/>
        <item x="93"/>
        <item x="95"/>
        <item x="81"/>
        <item x="92"/>
        <item x="126"/>
        <item x="130"/>
        <item x="91"/>
        <item x="86"/>
        <item x="113"/>
        <item x="103"/>
        <item x="100"/>
        <item x="69"/>
        <item x="101"/>
        <item x="111"/>
        <item x="110"/>
        <item x="124"/>
        <item x="129"/>
        <item x="138"/>
        <item x="109"/>
        <item x="139"/>
        <item x="119"/>
        <item x="128"/>
        <item x="140"/>
        <item x="107"/>
        <item x="121"/>
        <item x="131"/>
        <item x="141"/>
        <item x="146"/>
        <item x="137"/>
        <item x="122"/>
        <item x="132"/>
        <item x="149"/>
        <item x="136"/>
        <item x="73"/>
        <item x="157"/>
        <item x="166"/>
        <item x="158"/>
        <item x="152"/>
        <item x="170"/>
        <item x="178"/>
        <item x="155"/>
        <item x="159"/>
        <item x="162"/>
        <item x="153"/>
        <item x="142"/>
        <item x="154"/>
        <item x="207"/>
        <item x="193"/>
        <item x="150"/>
        <item x="160"/>
        <item x="184"/>
        <item x="181"/>
        <item x="171"/>
        <item x="161"/>
        <item x="222"/>
        <item x="163"/>
        <item x="183"/>
        <item x="177"/>
        <item x="187"/>
        <item x="189"/>
        <item x="190"/>
        <item x="191"/>
        <item x="194"/>
        <item x="200"/>
        <item x="209"/>
        <item x="206"/>
        <item x="204"/>
        <item x="203"/>
        <item x="215"/>
        <item x="225"/>
        <item x="208"/>
        <item x="223"/>
        <item x="224"/>
        <item x="214"/>
        <item x="230"/>
        <item x="212"/>
        <item x="228"/>
        <item x="229"/>
        <item x="233"/>
        <item x="249"/>
        <item x="231"/>
        <item x="242"/>
        <item x="226"/>
        <item x="246"/>
        <item x="13"/>
        <item x="2"/>
        <item x="50"/>
        <item x="23"/>
        <item x="15"/>
        <item x="41"/>
        <item x="63"/>
        <item x="39"/>
        <item x="26"/>
        <item x="80"/>
        <item x="97"/>
        <item x="64"/>
        <item x="59"/>
        <item x="70"/>
        <item x="72"/>
        <item x="143"/>
        <item x="174"/>
        <item x="180"/>
        <item x="151"/>
        <item x="196"/>
        <item x="201"/>
        <item x="217"/>
        <item x="213"/>
        <item x="219"/>
        <item x="247"/>
        <item x="33"/>
        <item x="12"/>
        <item t="default"/>
      </items>
    </pivotField>
  </pivotFields>
  <rowFields>
    <field x="0"/>
    <field x="8"/>
  </rowFields>
  <pageFields>
    <pageField fld="4"/>
  </pageFields>
  <dataFields>
    <dataField name="COUNTA of SB no" fld="1" subtotal="count" baseField="0"/>
  </dataFields>
</pivotTableDefinition>
</file>

<file path=xl/pivotTables/pivotTable2.xml><?xml version="1.0" encoding="utf-8"?>
<pivotTableDefinition xmlns="http://schemas.openxmlformats.org/spreadsheetml/2006/main" name="Pivot_Gateway_GST" cacheId="0" dataCaption="" compact="0" compactData="0">
  <location ref="A1:C621" firstHeaderRow="0" firstDataRow="2" firstDataCol="0"/>
  <pivotFields>
    <pivotField name="PORT Code" compact="0" outline="0" multipleItemSelectionAllowed="1" showAll="0">
      <items>
        <item x="0"/>
        <item t="default"/>
      </items>
    </pivotField>
    <pivotField name="SB 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t="default"/>
      </items>
    </pivotField>
    <pivotField name="SB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t="default"/>
      </items>
    </pivotField>
    <pivotField name="Current stat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t="default"/>
      </items>
    </pivotField>
    <pivotField name="EGM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t="default"/>
      </items>
    </pivotField>
    <pivotField name="ROS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GST" axis="axisRow" compact="0" outline="0" multipleItemSelectionAllowed="1" showAll="0" sortType="ascending">
      <items>
        <item x="332"/>
        <item x="342"/>
        <item x="349"/>
        <item x="361"/>
        <item x="283"/>
        <item x="326"/>
        <item x="263"/>
        <item x="299"/>
        <item x="46"/>
        <item x="242"/>
        <item x="354"/>
        <item x="139"/>
        <item x="169"/>
        <item x="297"/>
        <item x="158"/>
        <item x="188"/>
        <item x="34"/>
        <item x="303"/>
        <item x="306"/>
        <item x="307"/>
        <item x="313"/>
        <item x="321"/>
        <item x="327"/>
        <item x="334"/>
        <item x="340"/>
        <item x="346"/>
        <item x="352"/>
        <item x="357"/>
        <item x="360"/>
        <item x="204"/>
        <item x="155"/>
        <item x="243"/>
        <item x="88"/>
        <item x="0"/>
        <item x="1"/>
        <item x="282"/>
        <item x="336"/>
        <item x="244"/>
        <item x="232"/>
        <item x="317"/>
        <item x="151"/>
        <item x="269"/>
        <item x="219"/>
        <item x="85"/>
        <item x="239"/>
        <item x="300"/>
        <item x="277"/>
        <item x="314"/>
        <item x="214"/>
        <item x="102"/>
        <item x="225"/>
        <item x="32"/>
        <item x="38"/>
        <item x="112"/>
        <item x="272"/>
        <item x="130"/>
        <item x="230"/>
        <item x="77"/>
        <item x="49"/>
        <item x="259"/>
        <item x="258"/>
        <item x="268"/>
        <item x="159"/>
        <item x="344"/>
        <item x="184"/>
        <item x="185"/>
        <item x="19"/>
        <item x="4"/>
        <item x="10"/>
        <item x="9"/>
        <item x="8"/>
        <item x="171"/>
        <item x="109"/>
        <item x="7"/>
        <item x="132"/>
        <item x="86"/>
        <item x="3"/>
        <item x="43"/>
        <item x="337"/>
        <item x="338"/>
        <item x="83"/>
        <item x="234"/>
        <item x="13"/>
        <item x="209"/>
        <item x="315"/>
        <item x="231"/>
        <item x="240"/>
        <item x="177"/>
        <item x="176"/>
        <item x="167"/>
        <item x="12"/>
        <item x="65"/>
        <item x="107"/>
        <item x="287"/>
        <item x="286"/>
        <item x="6"/>
        <item x="293"/>
        <item x="292"/>
        <item x="295"/>
        <item x="296"/>
        <item x="212"/>
        <item x="73"/>
        <item x="143"/>
        <item x="192"/>
        <item x="324"/>
        <item x="78"/>
        <item x="215"/>
        <item x="138"/>
        <item x="345"/>
        <item x="246"/>
        <item x="278"/>
        <item x="254"/>
        <item x="280"/>
        <item x="279"/>
        <item x="183"/>
        <item x="14"/>
        <item x="120"/>
        <item x="198"/>
        <item x="79"/>
        <item x="80"/>
        <item x="364"/>
        <item x="74"/>
        <item x="48"/>
        <item x="233"/>
        <item x="140"/>
        <item x="30"/>
        <item x="50"/>
        <item x="55"/>
        <item x="275"/>
        <item x="145"/>
        <item x="165"/>
        <item x="52"/>
        <item x="270"/>
        <item x="97"/>
        <item x="99"/>
        <item x="98"/>
        <item x="125"/>
        <item x="103"/>
        <item x="27"/>
        <item x="265"/>
        <item x="36"/>
        <item x="69"/>
        <item x="200"/>
        <item x="67"/>
        <item x="335"/>
        <item x="129"/>
        <item x="146"/>
        <item x="205"/>
        <item x="92"/>
        <item x="175"/>
        <item x="81"/>
        <item x="82"/>
        <item x="154"/>
        <item x="173"/>
        <item x="193"/>
        <item x="194"/>
        <item x="341"/>
        <item x="348"/>
        <item x="356"/>
        <item x="366"/>
        <item x="355"/>
        <item x="365"/>
        <item x="114"/>
        <item x="87"/>
        <item x="123"/>
        <item x="216"/>
        <item x="264"/>
        <item x="298"/>
        <item x="330"/>
        <item x="331"/>
        <item x="312"/>
        <item x="90"/>
        <item x="47"/>
        <item x="149"/>
        <item x="271"/>
        <item x="100"/>
        <item x="153"/>
        <item x="152"/>
        <item x="250"/>
        <item x="54"/>
        <item x="118"/>
        <item x="126"/>
        <item x="267"/>
        <item x="16"/>
        <item x="163"/>
        <item x="255"/>
        <item x="273"/>
        <item x="318"/>
        <item x="33"/>
        <item x="59"/>
        <item x="220"/>
        <item x="75"/>
        <item x="121"/>
        <item x="237"/>
        <item x="238"/>
        <item x="251"/>
        <item x="44"/>
        <item x="20"/>
        <item x="308"/>
        <item x="301"/>
        <item x="157"/>
        <item x="309"/>
        <item x="305"/>
        <item x="311"/>
        <item x="322"/>
        <item x="333"/>
        <item x="358"/>
        <item x="289"/>
        <item x="63"/>
        <item x="104"/>
        <item x="40"/>
        <item x="72"/>
        <item x="42"/>
        <item x="62"/>
        <item x="245"/>
        <item x="252"/>
        <item x="51"/>
        <item x="291"/>
        <item x="178"/>
        <item x="39"/>
        <item x="281"/>
        <item x="111"/>
        <item x="294"/>
        <item x="203"/>
        <item x="302"/>
        <item x="363"/>
        <item x="70"/>
        <item x="288"/>
        <item x="113"/>
        <item x="350"/>
        <item x="64"/>
        <item x="66"/>
        <item x="31"/>
        <item x="211"/>
        <item x="147"/>
        <item x="162"/>
        <item x="347"/>
        <item x="221"/>
        <item x="89"/>
        <item x="226"/>
        <item x="93"/>
        <item x="274"/>
        <item x="236"/>
        <item x="117"/>
        <item x="96"/>
        <item x="35"/>
        <item x="210"/>
        <item x="23"/>
        <item x="156"/>
        <item x="196"/>
        <item x="310"/>
        <item x="202"/>
        <item x="56"/>
        <item x="2"/>
        <item x="316"/>
        <item x="222"/>
        <item x="22"/>
        <item x="144"/>
        <item x="168"/>
        <item x="182"/>
        <item x="276"/>
        <item x="131"/>
        <item x="248"/>
        <item x="353"/>
        <item x="53"/>
        <item x="208"/>
        <item x="60"/>
        <item x="137"/>
        <item x="91"/>
        <item x="197"/>
        <item x="260"/>
        <item x="94"/>
        <item x="115"/>
        <item x="224"/>
        <item x="253"/>
        <item x="266"/>
        <item x="284"/>
        <item x="285"/>
        <item x="18"/>
        <item x="164"/>
        <item x="229"/>
        <item x="262"/>
        <item x="45"/>
        <item x="161"/>
        <item x="29"/>
        <item x="41"/>
        <item x="160"/>
        <item x="128"/>
        <item x="61"/>
        <item x="170"/>
        <item x="179"/>
        <item x="181"/>
        <item x="180"/>
        <item x="11"/>
        <item x="325"/>
        <item x="290"/>
        <item x="328"/>
        <item x="351"/>
        <item x="319"/>
        <item x="339"/>
        <item x="343"/>
        <item x="359"/>
        <item x="362"/>
        <item x="124"/>
        <item x="199"/>
        <item x="28"/>
        <item x="101"/>
        <item x="148"/>
        <item x="110"/>
        <item x="17"/>
        <item x="119"/>
        <item x="201"/>
        <item x="304"/>
        <item x="150"/>
        <item x="135"/>
        <item x="186"/>
        <item x="136"/>
        <item x="5"/>
        <item x="24"/>
        <item x="25"/>
        <item x="95"/>
        <item x="26"/>
        <item x="15"/>
        <item x="116"/>
        <item x="57"/>
        <item x="249"/>
        <item x="223"/>
        <item x="37"/>
        <item x="105"/>
        <item x="68"/>
        <item x="213"/>
        <item x="206"/>
        <item x="71"/>
        <item x="106"/>
        <item x="134"/>
        <item x="247"/>
        <item x="21"/>
        <item x="261"/>
        <item x="141"/>
        <item x="76"/>
        <item x="133"/>
        <item x="174"/>
        <item x="227"/>
        <item x="228"/>
        <item x="195"/>
        <item x="127"/>
        <item x="241"/>
        <item x="217"/>
        <item x="108"/>
        <item x="256"/>
        <item x="172"/>
        <item x="166"/>
        <item x="122"/>
        <item x="257"/>
        <item x="207"/>
        <item x="329"/>
        <item x="58"/>
        <item x="84"/>
        <item x="142"/>
        <item x="191"/>
        <item x="190"/>
        <item x="187"/>
        <item x="189"/>
        <item x="218"/>
        <item x="235"/>
        <item x="320"/>
        <item x="323"/>
        <item t="default"/>
      </items>
    </pivotField>
    <pivotField name="Gateway" axis="axisRow" compact="0" outline="0" multipleItemSelectionAllowed="1" showAll="0" sortType="ascending">
      <items>
        <item x="1"/>
        <item x="67"/>
        <item x="4"/>
        <item x="75"/>
        <item x="27"/>
        <item x="30"/>
        <item x="28"/>
        <item x="56"/>
        <item x="47"/>
        <item x="19"/>
        <item x="44"/>
        <item x="32"/>
        <item x="5"/>
        <item x="52"/>
        <item x="37"/>
        <item x="35"/>
        <item x="53"/>
        <item x="98"/>
        <item x="114"/>
        <item x="65"/>
        <item x="55"/>
        <item x="10"/>
        <item x="77"/>
        <item x="38"/>
        <item x="62"/>
        <item x="61"/>
        <item x="71"/>
        <item x="99"/>
        <item x="66"/>
        <item x="116"/>
        <item x="123"/>
        <item x="58"/>
        <item x="83"/>
        <item x="79"/>
        <item x="89"/>
        <item x="87"/>
        <item x="104"/>
        <item x="96"/>
        <item x="112"/>
        <item x="125"/>
        <item x="105"/>
        <item x="108"/>
        <item x="127"/>
        <item x="120"/>
        <item x="134"/>
        <item x="144"/>
        <item x="76"/>
        <item x="29"/>
        <item x="147"/>
        <item x="118"/>
        <item x="145"/>
        <item x="167"/>
        <item x="148"/>
        <item x="0"/>
        <item x="195"/>
        <item x="165"/>
        <item x="197"/>
        <item x="173"/>
        <item x="135"/>
        <item x="198"/>
        <item x="172"/>
        <item x="205"/>
        <item x="176"/>
        <item x="156"/>
        <item x="175"/>
        <item x="182"/>
        <item x="185"/>
        <item x="117"/>
        <item x="188"/>
        <item x="199"/>
        <item x="211"/>
        <item x="60"/>
        <item x="133"/>
        <item x="186"/>
        <item x="164"/>
        <item x="234"/>
        <item x="210"/>
        <item x="179"/>
        <item x="202"/>
        <item x="220"/>
        <item x="221"/>
        <item x="192"/>
        <item x="216"/>
        <item x="235"/>
        <item x="237"/>
        <item x="241"/>
        <item x="251"/>
        <item x="168"/>
        <item x="245"/>
        <item x="227"/>
        <item x="218"/>
        <item x="236"/>
        <item x="232"/>
        <item x="248"/>
        <item x="238"/>
        <item x="239"/>
        <item x="240"/>
        <item x="250"/>
        <item x="244"/>
        <item x="243"/>
        <item x="102"/>
        <item x="169"/>
        <item x="24"/>
        <item x="34"/>
        <item x="6"/>
        <item x="3"/>
        <item x="8"/>
        <item x="25"/>
        <item x="9"/>
        <item x="20"/>
        <item x="7"/>
        <item x="17"/>
        <item x="16"/>
        <item x="14"/>
        <item x="31"/>
        <item x="22"/>
        <item x="40"/>
        <item x="11"/>
        <item x="21"/>
        <item x="36"/>
        <item x="18"/>
        <item x="43"/>
        <item x="68"/>
        <item x="54"/>
        <item x="48"/>
        <item x="49"/>
        <item x="42"/>
        <item x="57"/>
        <item x="78"/>
        <item x="51"/>
        <item x="45"/>
        <item x="82"/>
        <item x="74"/>
        <item x="85"/>
        <item x="115"/>
        <item x="46"/>
        <item x="90"/>
        <item x="106"/>
        <item x="94"/>
        <item x="84"/>
        <item x="88"/>
        <item x="93"/>
        <item x="95"/>
        <item x="81"/>
        <item x="92"/>
        <item x="126"/>
        <item x="130"/>
        <item x="91"/>
        <item x="86"/>
        <item x="113"/>
        <item x="103"/>
        <item x="100"/>
        <item x="69"/>
        <item x="101"/>
        <item x="111"/>
        <item x="110"/>
        <item x="124"/>
        <item x="129"/>
        <item x="138"/>
        <item x="109"/>
        <item x="139"/>
        <item x="119"/>
        <item x="128"/>
        <item x="140"/>
        <item x="107"/>
        <item x="121"/>
        <item x="131"/>
        <item x="141"/>
        <item x="146"/>
        <item x="137"/>
        <item x="122"/>
        <item x="132"/>
        <item x="149"/>
        <item x="136"/>
        <item x="73"/>
        <item x="157"/>
        <item x="166"/>
        <item x="158"/>
        <item x="152"/>
        <item x="170"/>
        <item x="178"/>
        <item x="155"/>
        <item x="159"/>
        <item x="162"/>
        <item x="153"/>
        <item x="142"/>
        <item x="154"/>
        <item x="207"/>
        <item x="193"/>
        <item x="150"/>
        <item x="160"/>
        <item x="184"/>
        <item x="181"/>
        <item x="171"/>
        <item x="161"/>
        <item x="222"/>
        <item x="163"/>
        <item x="183"/>
        <item x="177"/>
        <item x="187"/>
        <item x="189"/>
        <item x="190"/>
        <item x="191"/>
        <item x="194"/>
        <item x="200"/>
        <item x="209"/>
        <item x="206"/>
        <item x="204"/>
        <item x="203"/>
        <item x="215"/>
        <item x="225"/>
        <item x="208"/>
        <item x="223"/>
        <item x="224"/>
        <item x="214"/>
        <item x="230"/>
        <item x="212"/>
        <item x="228"/>
        <item x="229"/>
        <item x="233"/>
        <item x="249"/>
        <item x="231"/>
        <item x="242"/>
        <item x="226"/>
        <item x="246"/>
        <item x="13"/>
        <item x="2"/>
        <item x="50"/>
        <item x="23"/>
        <item x="15"/>
        <item x="41"/>
        <item x="63"/>
        <item x="39"/>
        <item x="26"/>
        <item x="80"/>
        <item x="97"/>
        <item x="64"/>
        <item x="59"/>
        <item x="70"/>
        <item x="72"/>
        <item x="143"/>
        <item x="174"/>
        <item x="180"/>
        <item x="151"/>
        <item x="196"/>
        <item x="201"/>
        <item x="217"/>
        <item x="213"/>
        <item x="219"/>
        <item x="247"/>
        <item x="33"/>
        <item x="12"/>
        <item t="default"/>
      </items>
    </pivotField>
  </pivotFields>
  <rowFields>
    <field x="8"/>
    <field x="7"/>
  </rowFields>
  <dataFields>
    <dataField name="COUNTA of SB no" fld="1" subtotal="count" baseField="0"/>
  </dataFields>
</pivotTableDefinition>
</file>

<file path=xl/pivotTables/pivotTable3.xml><?xml version="1.0" encoding="utf-8"?>
<pivotTableDefinition xmlns="http://schemas.openxmlformats.org/spreadsheetml/2006/main" name="Pivot_PORT_Status " cacheId="0" dataCaption="" compact="0" compactData="0">
  <location ref="A1:C234" firstHeaderRow="0" firstDataRow="2" firstDataCol="0"/>
  <pivotFields>
    <pivotField name="PORT Code" axis="axisRow" compact="0" outline="0" multipleItemSelectionAllowed="1" showAll="0" sortType="ascending">
      <items>
        <item x="0"/>
        <item t="default"/>
      </items>
    </pivotField>
    <pivotField name="SB 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t="default"/>
      </items>
    </pivotField>
    <pivotField name="SB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t="default"/>
      </items>
    </pivotField>
    <pivotField name="Current status" axis="axisRow" compact="0" outline="0" multipleItemSelectionAllowed="1" showAll="0" sortType="ascending">
      <items>
        <item x="11"/>
        <item x="177"/>
        <item x="171"/>
        <item x="224"/>
        <item x="143"/>
        <item x="141"/>
        <item x="53"/>
        <item x="64"/>
        <item x="63"/>
        <item x="10"/>
        <item x="14"/>
        <item x="225"/>
        <item x="144"/>
        <item x="18"/>
        <item x="13"/>
        <item x="16"/>
        <item x="223"/>
        <item x="92"/>
        <item x="15"/>
        <item x="12"/>
        <item x="174"/>
        <item x="180"/>
        <item x="176"/>
        <item x="173"/>
        <item x="172"/>
        <item x="228"/>
        <item x="1"/>
        <item x="111"/>
        <item x="117"/>
        <item x="110"/>
        <item x="55"/>
        <item x="23"/>
        <item x="21"/>
        <item x="25"/>
        <item x="178"/>
        <item x="179"/>
        <item x="229"/>
        <item x="227"/>
        <item x="119"/>
        <item x="120"/>
        <item x="66"/>
        <item x="65"/>
        <item x="175"/>
        <item x="184"/>
        <item x="183"/>
        <item x="230"/>
        <item x="151"/>
        <item x="114"/>
        <item x="113"/>
        <item x="115"/>
        <item x="67"/>
        <item x="73"/>
        <item x="27"/>
        <item x="185"/>
        <item x="187"/>
        <item x="181"/>
        <item x="182"/>
        <item x="2"/>
        <item x="149"/>
        <item x="121"/>
        <item x="123"/>
        <item x="69"/>
        <item x="24"/>
        <item x="22"/>
        <item x="189"/>
        <item x="188"/>
        <item x="148"/>
        <item x="68"/>
        <item x="75"/>
        <item x="28"/>
        <item x="145"/>
        <item x="116"/>
        <item x="122"/>
        <item x="17"/>
        <item x="30"/>
        <item x="20"/>
        <item x="146"/>
        <item x="150"/>
        <item x="118"/>
        <item x="125"/>
        <item x="19"/>
        <item x="29"/>
        <item x="190"/>
        <item x="104"/>
        <item x="74"/>
        <item x="0"/>
        <item x="127"/>
        <item x="124"/>
        <item x="76"/>
        <item x="72"/>
        <item x="186"/>
        <item x="192"/>
        <item x="197"/>
        <item x="194"/>
        <item x="147"/>
        <item x="154"/>
        <item x="128"/>
        <item x="129"/>
        <item x="80"/>
        <item x="77"/>
        <item x="79"/>
        <item x="31"/>
        <item x="35"/>
        <item x="200"/>
        <item x="196"/>
        <item x="153"/>
        <item x="81"/>
        <item x="71"/>
        <item x="84"/>
        <item x="86"/>
        <item x="78"/>
        <item x="193"/>
        <item x="199"/>
        <item x="195"/>
        <item x="155"/>
        <item x="82"/>
        <item x="70"/>
        <item x="33"/>
        <item x="36"/>
        <item x="38"/>
        <item x="201"/>
        <item x="152"/>
        <item x="130"/>
        <item x="126"/>
        <item x="88"/>
        <item x="90"/>
        <item x="41"/>
        <item x="39"/>
        <item x="156"/>
        <item x="131"/>
        <item x="132"/>
        <item x="26"/>
        <item x="40"/>
        <item x="191"/>
        <item x="202"/>
        <item x="157"/>
        <item x="134"/>
        <item x="87"/>
        <item x="89"/>
        <item x="46"/>
        <item x="42"/>
        <item x="198"/>
        <item x="203"/>
        <item x="93"/>
        <item x="205"/>
        <item x="204"/>
        <item x="210"/>
        <item x="136"/>
        <item x="91"/>
        <item x="44"/>
        <item x="34"/>
        <item x="209"/>
        <item x="212"/>
        <item x="206"/>
        <item x="96"/>
        <item x="94"/>
        <item x="85"/>
        <item x="213"/>
        <item x="211"/>
        <item x="160"/>
        <item x="97"/>
        <item x="102"/>
        <item x="43"/>
        <item x="48"/>
        <item x="208"/>
        <item x="164"/>
        <item x="163"/>
        <item x="137"/>
        <item x="95"/>
        <item x="98"/>
        <item x="100"/>
        <item x="37"/>
        <item x="45"/>
        <item x="50"/>
        <item x="51"/>
        <item x="162"/>
        <item x="161"/>
        <item x="135"/>
        <item x="52"/>
        <item x="47"/>
        <item x="54"/>
        <item x="166"/>
        <item x="158"/>
        <item x="167"/>
        <item x="101"/>
        <item x="99"/>
        <item x="49"/>
        <item x="56"/>
        <item x="60"/>
        <item x="59"/>
        <item x="216"/>
        <item x="215"/>
        <item x="138"/>
        <item x="103"/>
        <item x="214"/>
        <item x="207"/>
        <item x="3"/>
        <item x="140"/>
        <item x="105"/>
        <item x="58"/>
        <item x="220"/>
        <item x="217"/>
        <item x="218"/>
        <item x="4"/>
        <item x="5"/>
        <item x="159"/>
        <item x="168"/>
        <item x="139"/>
        <item x="106"/>
        <item x="107"/>
        <item x="61"/>
        <item x="57"/>
        <item x="221"/>
        <item x="222"/>
        <item x="7"/>
        <item x="170"/>
        <item x="112"/>
        <item x="108"/>
        <item x="109"/>
        <item x="62"/>
        <item x="219"/>
        <item x="226"/>
        <item x="165"/>
        <item x="169"/>
        <item x="133"/>
        <item x="142"/>
        <item x="9"/>
        <item x="8"/>
        <item x="6"/>
        <item x="83"/>
        <item x="32"/>
        <item t="default"/>
      </items>
    </pivotField>
    <pivotField name="EGM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t="default"/>
      </items>
    </pivotField>
    <pivotField name="ROS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Gatew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s>
  <rowFields>
    <field x="0"/>
    <field x="4"/>
  </rowFields>
  <dataFields>
    <dataField name="SUM of SB no" fld="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2" width="8.75"/>
    <col customWidth="1" min="3" max="3" width="11.13"/>
    <col customWidth="1" min="4" max="4" width="63.88"/>
    <col customWidth="1" min="5" max="5" width="125.13"/>
    <col customWidth="1" min="6" max="6" width="113.88"/>
    <col customWidth="1" min="7" max="7" width="93.0"/>
    <col customWidth="1" min="8" max="8" width="137.25"/>
    <col customWidth="1" min="9" max="9" width="131.25"/>
    <col customWidth="1" min="10" max="10" width="27.25"/>
    <col customWidth="1" min="11" max="12" width="18.5"/>
    <col customWidth="1" min="13" max="13" width="20.0"/>
    <col customWidth="1" min="14" max="14" width="15.25"/>
    <col customWidth="1" min="15" max="23" width="8.63"/>
  </cols>
  <sheetData>
    <row r="1">
      <c r="A1" s="1" t="s">
        <v>0</v>
      </c>
      <c r="B1" s="1" t="s">
        <v>1</v>
      </c>
      <c r="C1" s="1" t="s">
        <v>2</v>
      </c>
      <c r="D1" s="1" t="s">
        <v>3</v>
      </c>
      <c r="E1" s="1" t="s">
        <v>4</v>
      </c>
      <c r="F1" s="1" t="s">
        <v>5</v>
      </c>
      <c r="G1" s="1" t="s">
        <v>6</v>
      </c>
      <c r="H1" s="1" t="s">
        <v>7</v>
      </c>
      <c r="I1" s="1" t="s">
        <v>8</v>
      </c>
      <c r="J1" s="2" t="s">
        <v>9</v>
      </c>
      <c r="K1" s="2" t="s">
        <v>10</v>
      </c>
      <c r="L1" s="2" t="s">
        <v>11</v>
      </c>
      <c r="M1" s="2" t="s">
        <v>12</v>
      </c>
      <c r="N1" s="2" t="s">
        <v>13</v>
      </c>
    </row>
    <row r="2">
      <c r="A2" s="1" t="s">
        <v>14</v>
      </c>
      <c r="B2" s="1">
        <v>7096937.0</v>
      </c>
      <c r="C2" s="1" t="s">
        <v>15</v>
      </c>
      <c r="D2" s="1" t="s">
        <v>16</v>
      </c>
      <c r="E2" s="1" t="s">
        <v>17</v>
      </c>
      <c r="F2" s="1" t="s">
        <v>18</v>
      </c>
      <c r="G2" s="1" t="s">
        <v>19</v>
      </c>
      <c r="H2" s="1" t="s">
        <v>20</v>
      </c>
      <c r="I2" s="1" t="s">
        <v>21</v>
      </c>
      <c r="J2" s="1" t="str">
        <f t="shared" ref="J2:J380" si="1">IF(TRIM(H2)="YES","Compliant","Non-Compliant")</f>
        <v>Non-Compliant</v>
      </c>
      <c r="K2" s="1" t="str">
        <f t="shared" ref="K2:K380" si="2">IF(G2="YES","Incentive","Non-Incentive")</f>
        <v>Non-Incentive</v>
      </c>
      <c r="L2" s="1" t="str">
        <f t="shared" ref="L2:L380" si="3">LEFT(A2,3)</f>
        <v>TUG</v>
      </c>
      <c r="M2" s="1">
        <f t="shared" ref="M2:M380" si="4">IFS(
E2="Completed",1,
E2="Pending",2,
TRUE,3
)</f>
        <v>3</v>
      </c>
      <c r="N2" s="1">
        <f t="shared" ref="N2:N380" si="5">YEAR(C2)</f>
        <v>2017</v>
      </c>
    </row>
    <row r="3">
      <c r="A3" s="1" t="s">
        <v>14</v>
      </c>
      <c r="B3" s="1">
        <v>7100605.0</v>
      </c>
      <c r="C3" s="1" t="s">
        <v>15</v>
      </c>
      <c r="D3" s="1" t="s">
        <v>22</v>
      </c>
      <c r="E3" s="1" t="s">
        <v>23</v>
      </c>
      <c r="F3" s="1" t="s">
        <v>24</v>
      </c>
      <c r="G3" s="1" t="s">
        <v>19</v>
      </c>
      <c r="H3" s="1" t="s">
        <v>25</v>
      </c>
      <c r="I3" s="1" t="s">
        <v>26</v>
      </c>
      <c r="J3" s="1" t="str">
        <f t="shared" si="1"/>
        <v>Non-Compliant</v>
      </c>
      <c r="K3" s="1" t="str">
        <f t="shared" si="2"/>
        <v>Non-Incentive</v>
      </c>
      <c r="L3" s="1" t="str">
        <f t="shared" si="3"/>
        <v>TUG</v>
      </c>
      <c r="M3" s="1">
        <f t="shared" si="4"/>
        <v>3</v>
      </c>
      <c r="N3" s="1">
        <f t="shared" si="5"/>
        <v>2017</v>
      </c>
    </row>
    <row r="4">
      <c r="A4" s="1" t="s">
        <v>14</v>
      </c>
      <c r="B4" s="1">
        <v>7183827.0</v>
      </c>
      <c r="C4" s="1" t="s">
        <v>27</v>
      </c>
      <c r="D4" s="1" t="s">
        <v>28</v>
      </c>
      <c r="E4" s="1" t="s">
        <v>29</v>
      </c>
      <c r="F4" s="1" t="s">
        <v>30</v>
      </c>
      <c r="G4" s="1" t="s">
        <v>19</v>
      </c>
      <c r="H4" s="1" t="s">
        <v>31</v>
      </c>
      <c r="I4" s="1" t="s">
        <v>32</v>
      </c>
      <c r="J4" s="1" t="str">
        <f t="shared" si="1"/>
        <v>Non-Compliant</v>
      </c>
      <c r="K4" s="1" t="str">
        <f t="shared" si="2"/>
        <v>Non-Incentive</v>
      </c>
      <c r="L4" s="1" t="str">
        <f t="shared" si="3"/>
        <v>TUG</v>
      </c>
      <c r="M4" s="1">
        <f t="shared" si="4"/>
        <v>3</v>
      </c>
      <c r="N4" s="1">
        <f t="shared" si="5"/>
        <v>2017</v>
      </c>
    </row>
    <row r="5">
      <c r="A5" s="1" t="s">
        <v>14</v>
      </c>
      <c r="B5" s="1">
        <v>7603758.0</v>
      </c>
      <c r="C5" s="1" t="s">
        <v>33</v>
      </c>
      <c r="D5" s="1" t="s">
        <v>34</v>
      </c>
      <c r="E5" s="1" t="s">
        <v>35</v>
      </c>
      <c r="F5" s="1" t="s">
        <v>36</v>
      </c>
      <c r="G5" s="1" t="s">
        <v>37</v>
      </c>
      <c r="H5" s="1" t="s">
        <v>38</v>
      </c>
      <c r="I5" s="1" t="s">
        <v>32</v>
      </c>
      <c r="J5" s="1" t="str">
        <f t="shared" si="1"/>
        <v>Non-Compliant</v>
      </c>
      <c r="K5" s="1" t="str">
        <f t="shared" si="2"/>
        <v>Non-Incentive</v>
      </c>
      <c r="L5" s="1" t="str">
        <f t="shared" si="3"/>
        <v>TUG</v>
      </c>
      <c r="M5" s="1">
        <f t="shared" si="4"/>
        <v>3</v>
      </c>
      <c r="N5" s="1">
        <f t="shared" si="5"/>
        <v>2017</v>
      </c>
    </row>
    <row r="6">
      <c r="A6" s="1" t="s">
        <v>14</v>
      </c>
      <c r="B6" s="1">
        <v>7616933.0</v>
      </c>
      <c r="C6" s="1" t="s">
        <v>33</v>
      </c>
      <c r="D6" s="1" t="s">
        <v>39</v>
      </c>
      <c r="E6" s="1" t="s">
        <v>40</v>
      </c>
      <c r="F6" s="1" t="s">
        <v>41</v>
      </c>
      <c r="G6" s="1" t="s">
        <v>19</v>
      </c>
      <c r="H6" s="1" t="s">
        <v>42</v>
      </c>
      <c r="I6" s="1" t="s">
        <v>43</v>
      </c>
      <c r="J6" s="1" t="str">
        <f t="shared" si="1"/>
        <v>Non-Compliant</v>
      </c>
      <c r="K6" s="1" t="str">
        <f t="shared" si="2"/>
        <v>Non-Incentive</v>
      </c>
      <c r="L6" s="1" t="str">
        <f t="shared" si="3"/>
        <v>TUG</v>
      </c>
      <c r="M6" s="1">
        <f t="shared" si="4"/>
        <v>3</v>
      </c>
      <c r="N6" s="1">
        <f t="shared" si="5"/>
        <v>2017</v>
      </c>
    </row>
    <row r="7">
      <c r="A7" s="1" t="s">
        <v>14</v>
      </c>
      <c r="B7" s="1">
        <v>7623801.0</v>
      </c>
      <c r="C7" s="1" t="s">
        <v>44</v>
      </c>
      <c r="D7" s="1" t="s">
        <v>45</v>
      </c>
      <c r="E7" s="1" t="s">
        <v>46</v>
      </c>
      <c r="F7" s="1" t="s">
        <v>47</v>
      </c>
      <c r="G7" s="1" t="s">
        <v>19</v>
      </c>
      <c r="H7" s="1" t="s">
        <v>48</v>
      </c>
      <c r="I7" s="1" t="s">
        <v>49</v>
      </c>
      <c r="J7" s="1" t="str">
        <f t="shared" si="1"/>
        <v>Non-Compliant</v>
      </c>
      <c r="K7" s="1" t="str">
        <f t="shared" si="2"/>
        <v>Non-Incentive</v>
      </c>
      <c r="L7" s="1" t="str">
        <f t="shared" si="3"/>
        <v>TUG</v>
      </c>
      <c r="M7" s="1">
        <f t="shared" si="4"/>
        <v>3</v>
      </c>
      <c r="N7" s="1">
        <f t="shared" si="5"/>
        <v>2017</v>
      </c>
    </row>
    <row r="8">
      <c r="A8" s="1" t="s">
        <v>14</v>
      </c>
      <c r="B8" s="1">
        <v>7638661.0</v>
      </c>
      <c r="C8" s="1" t="s">
        <v>44</v>
      </c>
      <c r="D8" s="1" t="s">
        <v>50</v>
      </c>
      <c r="E8" s="1" t="s">
        <v>51</v>
      </c>
      <c r="F8" s="1" t="s">
        <v>52</v>
      </c>
      <c r="G8" s="1" t="s">
        <v>37</v>
      </c>
      <c r="H8" s="1" t="s">
        <v>53</v>
      </c>
      <c r="I8" s="1" t="s">
        <v>32</v>
      </c>
      <c r="J8" s="1" t="str">
        <f t="shared" si="1"/>
        <v>Non-Compliant</v>
      </c>
      <c r="K8" s="1" t="str">
        <f t="shared" si="2"/>
        <v>Non-Incentive</v>
      </c>
      <c r="L8" s="1" t="str">
        <f t="shared" si="3"/>
        <v>TUG</v>
      </c>
      <c r="M8" s="1">
        <f t="shared" si="4"/>
        <v>3</v>
      </c>
      <c r="N8" s="1">
        <f t="shared" si="5"/>
        <v>2017</v>
      </c>
    </row>
    <row r="9">
      <c r="A9" s="1" t="s">
        <v>14</v>
      </c>
      <c r="B9" s="1">
        <v>7640213.0</v>
      </c>
      <c r="C9" s="1" t="s">
        <v>44</v>
      </c>
      <c r="D9" s="1" t="s">
        <v>54</v>
      </c>
      <c r="E9" s="1" t="s">
        <v>55</v>
      </c>
      <c r="F9" s="1" t="s">
        <v>56</v>
      </c>
      <c r="G9" s="1" t="s">
        <v>19</v>
      </c>
      <c r="H9" s="1" t="s">
        <v>57</v>
      </c>
      <c r="I9" s="1" t="s">
        <v>58</v>
      </c>
      <c r="J9" s="1" t="str">
        <f t="shared" si="1"/>
        <v>Non-Compliant</v>
      </c>
      <c r="K9" s="1" t="str">
        <f t="shared" si="2"/>
        <v>Non-Incentive</v>
      </c>
      <c r="L9" s="1" t="str">
        <f t="shared" si="3"/>
        <v>TUG</v>
      </c>
      <c r="M9" s="1">
        <f t="shared" si="4"/>
        <v>3</v>
      </c>
      <c r="N9" s="1">
        <f t="shared" si="5"/>
        <v>2017</v>
      </c>
    </row>
    <row r="10">
      <c r="A10" s="1" t="s">
        <v>14</v>
      </c>
      <c r="B10" s="1">
        <v>7641404.0</v>
      </c>
      <c r="C10" s="1" t="s">
        <v>44</v>
      </c>
      <c r="D10" s="1" t="s">
        <v>59</v>
      </c>
      <c r="E10" s="1" t="s">
        <v>55</v>
      </c>
      <c r="F10" s="1" t="s">
        <v>60</v>
      </c>
      <c r="G10" s="1" t="s">
        <v>19</v>
      </c>
      <c r="H10" s="1" t="s">
        <v>61</v>
      </c>
      <c r="I10" s="1" t="s">
        <v>62</v>
      </c>
      <c r="J10" s="1" t="str">
        <f t="shared" si="1"/>
        <v>Non-Compliant</v>
      </c>
      <c r="K10" s="1" t="str">
        <f t="shared" si="2"/>
        <v>Non-Incentive</v>
      </c>
      <c r="L10" s="1" t="str">
        <f t="shared" si="3"/>
        <v>TUG</v>
      </c>
      <c r="M10" s="1">
        <f t="shared" si="4"/>
        <v>3</v>
      </c>
      <c r="N10" s="1">
        <f t="shared" si="5"/>
        <v>2017</v>
      </c>
    </row>
    <row r="11">
      <c r="A11" s="1" t="s">
        <v>14</v>
      </c>
      <c r="B11" s="1">
        <v>7641415.0</v>
      </c>
      <c r="C11" s="1" t="s">
        <v>44</v>
      </c>
      <c r="D11" s="1" t="s">
        <v>63</v>
      </c>
      <c r="E11" s="1" t="s">
        <v>55</v>
      </c>
      <c r="F11" s="1" t="s">
        <v>60</v>
      </c>
      <c r="G11" s="1" t="s">
        <v>19</v>
      </c>
      <c r="H11" s="1" t="s">
        <v>64</v>
      </c>
      <c r="I11" s="1" t="s">
        <v>62</v>
      </c>
      <c r="J11" s="1" t="str">
        <f t="shared" si="1"/>
        <v>Non-Compliant</v>
      </c>
      <c r="K11" s="1" t="str">
        <f t="shared" si="2"/>
        <v>Non-Incentive</v>
      </c>
      <c r="L11" s="1" t="str">
        <f t="shared" si="3"/>
        <v>TUG</v>
      </c>
      <c r="M11" s="1">
        <f t="shared" si="4"/>
        <v>3</v>
      </c>
      <c r="N11" s="1">
        <f t="shared" si="5"/>
        <v>2017</v>
      </c>
    </row>
    <row r="12">
      <c r="A12" s="1" t="s">
        <v>14</v>
      </c>
      <c r="B12" s="1">
        <v>7642279.0</v>
      </c>
      <c r="C12" s="1" t="s">
        <v>44</v>
      </c>
      <c r="D12" s="1" t="s">
        <v>65</v>
      </c>
      <c r="E12" s="1" t="s">
        <v>55</v>
      </c>
      <c r="F12" s="1" t="s">
        <v>66</v>
      </c>
      <c r="G12" s="1" t="s">
        <v>19</v>
      </c>
      <c r="H12" s="1" t="s">
        <v>67</v>
      </c>
      <c r="I12" s="1" t="s">
        <v>62</v>
      </c>
      <c r="J12" s="1" t="str">
        <f t="shared" si="1"/>
        <v>Non-Compliant</v>
      </c>
      <c r="K12" s="1" t="str">
        <f t="shared" si="2"/>
        <v>Non-Incentive</v>
      </c>
      <c r="L12" s="1" t="str">
        <f t="shared" si="3"/>
        <v>TUG</v>
      </c>
      <c r="M12" s="1">
        <f t="shared" si="4"/>
        <v>3</v>
      </c>
      <c r="N12" s="1">
        <f t="shared" si="5"/>
        <v>2017</v>
      </c>
    </row>
    <row r="13">
      <c r="A13" s="1" t="s">
        <v>14</v>
      </c>
      <c r="B13" s="1">
        <v>7646561.0</v>
      </c>
      <c r="C13" s="1" t="s">
        <v>68</v>
      </c>
      <c r="D13" s="1" t="s">
        <v>69</v>
      </c>
      <c r="E13" s="1" t="s">
        <v>70</v>
      </c>
      <c r="F13" s="1" t="s">
        <v>71</v>
      </c>
      <c r="G13" s="1" t="s">
        <v>19</v>
      </c>
      <c r="H13" s="1" t="s">
        <v>72</v>
      </c>
      <c r="I13" s="1" t="s">
        <v>43</v>
      </c>
      <c r="J13" s="1" t="str">
        <f t="shared" si="1"/>
        <v>Non-Compliant</v>
      </c>
      <c r="K13" s="1" t="str">
        <f t="shared" si="2"/>
        <v>Non-Incentive</v>
      </c>
      <c r="L13" s="1" t="str">
        <f t="shared" si="3"/>
        <v>TUG</v>
      </c>
      <c r="M13" s="1">
        <f t="shared" si="4"/>
        <v>3</v>
      </c>
      <c r="N13" s="1">
        <f t="shared" si="5"/>
        <v>2017</v>
      </c>
    </row>
    <row r="14">
      <c r="A14" s="1" t="s">
        <v>14</v>
      </c>
      <c r="B14" s="1">
        <v>7649257.0</v>
      </c>
      <c r="C14" s="1" t="s">
        <v>68</v>
      </c>
      <c r="D14" s="1" t="s">
        <v>73</v>
      </c>
      <c r="E14" s="1" t="s">
        <v>74</v>
      </c>
      <c r="F14" s="1" t="s">
        <v>75</v>
      </c>
      <c r="G14" s="1" t="s">
        <v>19</v>
      </c>
      <c r="H14" s="1" t="s">
        <v>76</v>
      </c>
      <c r="I14" s="1" t="s">
        <v>43</v>
      </c>
      <c r="J14" s="1" t="str">
        <f t="shared" si="1"/>
        <v>Non-Compliant</v>
      </c>
      <c r="K14" s="1" t="str">
        <f t="shared" si="2"/>
        <v>Non-Incentive</v>
      </c>
      <c r="L14" s="1" t="str">
        <f t="shared" si="3"/>
        <v>TUG</v>
      </c>
      <c r="M14" s="1">
        <f t="shared" si="4"/>
        <v>3</v>
      </c>
      <c r="N14" s="1">
        <f t="shared" si="5"/>
        <v>2017</v>
      </c>
    </row>
    <row r="15">
      <c r="A15" s="1" t="s">
        <v>14</v>
      </c>
      <c r="B15" s="1">
        <v>7662086.0</v>
      </c>
      <c r="C15" s="1" t="s">
        <v>68</v>
      </c>
      <c r="D15" s="1" t="s">
        <v>77</v>
      </c>
      <c r="E15" s="1" t="s">
        <v>78</v>
      </c>
      <c r="F15" s="1" t="s">
        <v>79</v>
      </c>
      <c r="G15" s="1" t="s">
        <v>19</v>
      </c>
      <c r="H15" s="1" t="s">
        <v>80</v>
      </c>
      <c r="I15" s="1" t="s">
        <v>81</v>
      </c>
      <c r="J15" s="1" t="str">
        <f t="shared" si="1"/>
        <v>Non-Compliant</v>
      </c>
      <c r="K15" s="1" t="str">
        <f t="shared" si="2"/>
        <v>Non-Incentive</v>
      </c>
      <c r="L15" s="1" t="str">
        <f t="shared" si="3"/>
        <v>TUG</v>
      </c>
      <c r="M15" s="1">
        <f t="shared" si="4"/>
        <v>3</v>
      </c>
      <c r="N15" s="1">
        <f t="shared" si="5"/>
        <v>2017</v>
      </c>
    </row>
    <row r="16">
      <c r="A16" s="1" t="s">
        <v>14</v>
      </c>
      <c r="B16" s="1">
        <v>7690771.0</v>
      </c>
      <c r="C16" s="1" t="s">
        <v>82</v>
      </c>
      <c r="D16" s="1" t="s">
        <v>83</v>
      </c>
      <c r="E16" s="1" t="s">
        <v>84</v>
      </c>
      <c r="F16" s="1" t="s">
        <v>85</v>
      </c>
      <c r="G16" s="1" t="s">
        <v>19</v>
      </c>
      <c r="H16" s="1" t="s">
        <v>86</v>
      </c>
      <c r="I16" s="1" t="s">
        <v>87</v>
      </c>
      <c r="J16" s="1" t="str">
        <f t="shared" si="1"/>
        <v>Non-Compliant</v>
      </c>
      <c r="K16" s="1" t="str">
        <f t="shared" si="2"/>
        <v>Non-Incentive</v>
      </c>
      <c r="L16" s="1" t="str">
        <f t="shared" si="3"/>
        <v>TUG</v>
      </c>
      <c r="M16" s="1">
        <f t="shared" si="4"/>
        <v>3</v>
      </c>
      <c r="N16" s="1">
        <f t="shared" si="5"/>
        <v>2017</v>
      </c>
    </row>
    <row r="17">
      <c r="A17" s="1" t="s">
        <v>14</v>
      </c>
      <c r="B17" s="1">
        <v>7692707.0</v>
      </c>
      <c r="C17" s="1" t="s">
        <v>82</v>
      </c>
      <c r="D17" s="1" t="s">
        <v>88</v>
      </c>
      <c r="E17" s="1" t="s">
        <v>89</v>
      </c>
      <c r="F17" s="1" t="s">
        <v>90</v>
      </c>
      <c r="G17" s="1" t="s">
        <v>19</v>
      </c>
      <c r="H17" s="1" t="s">
        <v>91</v>
      </c>
      <c r="I17" s="1" t="s">
        <v>92</v>
      </c>
      <c r="J17" s="1" t="str">
        <f t="shared" si="1"/>
        <v>Non-Compliant</v>
      </c>
      <c r="K17" s="1" t="str">
        <f t="shared" si="2"/>
        <v>Non-Incentive</v>
      </c>
      <c r="L17" s="1" t="str">
        <f t="shared" si="3"/>
        <v>TUG</v>
      </c>
      <c r="M17" s="1">
        <f t="shared" si="4"/>
        <v>3</v>
      </c>
      <c r="N17" s="1">
        <f t="shared" si="5"/>
        <v>2017</v>
      </c>
    </row>
    <row r="18">
      <c r="A18" s="1" t="s">
        <v>14</v>
      </c>
      <c r="B18" s="1">
        <v>7703453.0</v>
      </c>
      <c r="C18" s="1" t="s">
        <v>93</v>
      </c>
      <c r="D18" s="1" t="s">
        <v>94</v>
      </c>
      <c r="E18" s="1" t="s">
        <v>95</v>
      </c>
      <c r="F18" s="1" t="s">
        <v>96</v>
      </c>
      <c r="G18" s="1" t="s">
        <v>19</v>
      </c>
      <c r="H18" s="1" t="s">
        <v>97</v>
      </c>
      <c r="I18" s="1" t="s">
        <v>32</v>
      </c>
      <c r="J18" s="1" t="str">
        <f t="shared" si="1"/>
        <v>Non-Compliant</v>
      </c>
      <c r="K18" s="1" t="str">
        <f t="shared" si="2"/>
        <v>Non-Incentive</v>
      </c>
      <c r="L18" s="1" t="str">
        <f t="shared" si="3"/>
        <v>TUG</v>
      </c>
      <c r="M18" s="1">
        <f t="shared" si="4"/>
        <v>3</v>
      </c>
      <c r="N18" s="1">
        <f t="shared" si="5"/>
        <v>2017</v>
      </c>
    </row>
    <row r="19">
      <c r="A19" s="1" t="s">
        <v>14</v>
      </c>
      <c r="B19" s="1">
        <v>7712075.0</v>
      </c>
      <c r="C19" s="1" t="s">
        <v>93</v>
      </c>
      <c r="D19" s="1" t="s">
        <v>98</v>
      </c>
      <c r="E19" s="1" t="s">
        <v>78</v>
      </c>
      <c r="F19" s="1" t="s">
        <v>99</v>
      </c>
      <c r="G19" s="1" t="s">
        <v>19</v>
      </c>
      <c r="H19" s="1" t="s">
        <v>100</v>
      </c>
      <c r="I19" s="1" t="s">
        <v>101</v>
      </c>
      <c r="J19" s="1" t="str">
        <f t="shared" si="1"/>
        <v>Non-Compliant</v>
      </c>
      <c r="K19" s="1" t="str">
        <f t="shared" si="2"/>
        <v>Non-Incentive</v>
      </c>
      <c r="L19" s="1" t="str">
        <f t="shared" si="3"/>
        <v>TUG</v>
      </c>
      <c r="M19" s="1">
        <f t="shared" si="4"/>
        <v>3</v>
      </c>
      <c r="N19" s="1">
        <f t="shared" si="5"/>
        <v>2017</v>
      </c>
    </row>
    <row r="20">
      <c r="A20" s="1" t="s">
        <v>14</v>
      </c>
      <c r="B20" s="1">
        <v>7718281.0</v>
      </c>
      <c r="C20" s="1" t="s">
        <v>93</v>
      </c>
      <c r="D20" s="1" t="s">
        <v>102</v>
      </c>
      <c r="E20" s="1" t="s">
        <v>103</v>
      </c>
      <c r="F20" s="1" t="s">
        <v>104</v>
      </c>
      <c r="G20" s="1" t="s">
        <v>19</v>
      </c>
      <c r="H20" s="1" t="s">
        <v>105</v>
      </c>
      <c r="I20" s="1" t="s">
        <v>106</v>
      </c>
      <c r="J20" s="1" t="str">
        <f t="shared" si="1"/>
        <v>Non-Compliant</v>
      </c>
      <c r="K20" s="1" t="str">
        <f t="shared" si="2"/>
        <v>Non-Incentive</v>
      </c>
      <c r="L20" s="1" t="str">
        <f t="shared" si="3"/>
        <v>TUG</v>
      </c>
      <c r="M20" s="1">
        <f t="shared" si="4"/>
        <v>3</v>
      </c>
      <c r="N20" s="1">
        <f t="shared" si="5"/>
        <v>2017</v>
      </c>
    </row>
    <row r="21" ht="15.75" customHeight="1">
      <c r="A21" s="1" t="s">
        <v>14</v>
      </c>
      <c r="B21" s="1">
        <v>7721241.0</v>
      </c>
      <c r="C21" s="1" t="s">
        <v>93</v>
      </c>
      <c r="D21" s="1" t="s">
        <v>107</v>
      </c>
      <c r="E21" s="1" t="s">
        <v>108</v>
      </c>
      <c r="F21" s="1" t="s">
        <v>109</v>
      </c>
      <c r="G21" s="1" t="s">
        <v>19</v>
      </c>
      <c r="H21" s="1" t="s">
        <v>110</v>
      </c>
      <c r="I21" s="1" t="s">
        <v>111</v>
      </c>
      <c r="J21" s="1" t="str">
        <f t="shared" si="1"/>
        <v>Non-Compliant</v>
      </c>
      <c r="K21" s="1" t="str">
        <f t="shared" si="2"/>
        <v>Non-Incentive</v>
      </c>
      <c r="L21" s="1" t="str">
        <f t="shared" si="3"/>
        <v>TUG</v>
      </c>
      <c r="M21" s="1">
        <f t="shared" si="4"/>
        <v>3</v>
      </c>
      <c r="N21" s="1">
        <f t="shared" si="5"/>
        <v>2017</v>
      </c>
    </row>
    <row r="22" ht="15.75" customHeight="1">
      <c r="A22" s="1" t="s">
        <v>14</v>
      </c>
      <c r="B22" s="1">
        <v>7742310.0</v>
      </c>
      <c r="C22" s="1" t="s">
        <v>112</v>
      </c>
      <c r="D22" s="1" t="s">
        <v>113</v>
      </c>
      <c r="E22" s="1" t="s">
        <v>114</v>
      </c>
      <c r="F22" s="1" t="s">
        <v>115</v>
      </c>
      <c r="G22" s="1" t="s">
        <v>116</v>
      </c>
      <c r="H22" s="1" t="s">
        <v>117</v>
      </c>
      <c r="I22" s="1" t="s">
        <v>118</v>
      </c>
      <c r="J22" s="1" t="str">
        <f t="shared" si="1"/>
        <v>Non-Compliant</v>
      </c>
      <c r="K22" s="1" t="str">
        <f t="shared" si="2"/>
        <v>Non-Incentive</v>
      </c>
      <c r="L22" s="1" t="str">
        <f t="shared" si="3"/>
        <v>TUG</v>
      </c>
      <c r="M22" s="1">
        <f t="shared" si="4"/>
        <v>3</v>
      </c>
      <c r="N22" s="1">
        <f t="shared" si="5"/>
        <v>2017</v>
      </c>
    </row>
    <row r="23" ht="15.75" customHeight="1">
      <c r="A23" s="1" t="s">
        <v>14</v>
      </c>
      <c r="B23" s="1">
        <v>7747150.0</v>
      </c>
      <c r="C23" s="1" t="s">
        <v>112</v>
      </c>
      <c r="D23" s="1" t="s">
        <v>119</v>
      </c>
      <c r="E23" s="1" t="s">
        <v>95</v>
      </c>
      <c r="F23" s="1" t="s">
        <v>120</v>
      </c>
      <c r="G23" s="1" t="s">
        <v>19</v>
      </c>
      <c r="H23" s="1" t="s">
        <v>121</v>
      </c>
      <c r="I23" s="1" t="s">
        <v>122</v>
      </c>
      <c r="J23" s="1" t="str">
        <f t="shared" si="1"/>
        <v>Non-Compliant</v>
      </c>
      <c r="K23" s="1" t="str">
        <f t="shared" si="2"/>
        <v>Non-Incentive</v>
      </c>
      <c r="L23" s="1" t="str">
        <f t="shared" si="3"/>
        <v>TUG</v>
      </c>
      <c r="M23" s="1">
        <f t="shared" si="4"/>
        <v>3</v>
      </c>
      <c r="N23" s="1">
        <f t="shared" si="5"/>
        <v>2017</v>
      </c>
    </row>
    <row r="24" ht="15.75" customHeight="1">
      <c r="A24" s="1" t="s">
        <v>14</v>
      </c>
      <c r="B24" s="1">
        <v>7751210.0</v>
      </c>
      <c r="C24" s="1" t="s">
        <v>112</v>
      </c>
      <c r="D24" s="1" t="s">
        <v>123</v>
      </c>
      <c r="E24" s="1" t="s">
        <v>89</v>
      </c>
      <c r="F24" s="1" t="s">
        <v>124</v>
      </c>
      <c r="G24" s="1" t="s">
        <v>19</v>
      </c>
      <c r="H24" s="1" t="s">
        <v>125</v>
      </c>
      <c r="I24" s="1" t="s">
        <v>32</v>
      </c>
      <c r="J24" s="1" t="str">
        <f t="shared" si="1"/>
        <v>Non-Compliant</v>
      </c>
      <c r="K24" s="1" t="str">
        <f t="shared" si="2"/>
        <v>Non-Incentive</v>
      </c>
      <c r="L24" s="1" t="str">
        <f t="shared" si="3"/>
        <v>TUG</v>
      </c>
      <c r="M24" s="1">
        <f t="shared" si="4"/>
        <v>3</v>
      </c>
      <c r="N24" s="1">
        <f t="shared" si="5"/>
        <v>2017</v>
      </c>
    </row>
    <row r="25" ht="15.75" customHeight="1">
      <c r="A25" s="1" t="s">
        <v>14</v>
      </c>
      <c r="B25" s="1">
        <v>7759192.0</v>
      </c>
      <c r="C25" s="1" t="s">
        <v>126</v>
      </c>
      <c r="D25" s="1" t="s">
        <v>127</v>
      </c>
      <c r="E25" s="1" t="s">
        <v>128</v>
      </c>
      <c r="F25" s="1" t="s">
        <v>129</v>
      </c>
      <c r="G25" s="1" t="s">
        <v>19</v>
      </c>
      <c r="H25" s="1" t="s">
        <v>130</v>
      </c>
      <c r="I25" s="1" t="s">
        <v>131</v>
      </c>
      <c r="J25" s="1" t="str">
        <f t="shared" si="1"/>
        <v>Non-Compliant</v>
      </c>
      <c r="K25" s="1" t="str">
        <f t="shared" si="2"/>
        <v>Non-Incentive</v>
      </c>
      <c r="L25" s="1" t="str">
        <f t="shared" si="3"/>
        <v>TUG</v>
      </c>
      <c r="M25" s="1">
        <f t="shared" si="4"/>
        <v>3</v>
      </c>
      <c r="N25" s="1">
        <f t="shared" si="5"/>
        <v>2017</v>
      </c>
    </row>
    <row r="26" ht="15.75" customHeight="1">
      <c r="A26" s="1" t="s">
        <v>14</v>
      </c>
      <c r="B26" s="1">
        <v>7764000.0</v>
      </c>
      <c r="C26" s="1" t="s">
        <v>126</v>
      </c>
      <c r="D26" s="1" t="s">
        <v>132</v>
      </c>
      <c r="E26" s="1" t="s">
        <v>114</v>
      </c>
      <c r="F26" s="1" t="s">
        <v>133</v>
      </c>
      <c r="G26" s="1" t="s">
        <v>19</v>
      </c>
      <c r="H26" s="1" t="s">
        <v>134</v>
      </c>
      <c r="I26" s="1" t="s">
        <v>135</v>
      </c>
      <c r="J26" s="1" t="str">
        <f t="shared" si="1"/>
        <v>Non-Compliant</v>
      </c>
      <c r="K26" s="1" t="str">
        <f t="shared" si="2"/>
        <v>Non-Incentive</v>
      </c>
      <c r="L26" s="1" t="str">
        <f t="shared" si="3"/>
        <v>TUG</v>
      </c>
      <c r="M26" s="1">
        <f t="shared" si="4"/>
        <v>3</v>
      </c>
      <c r="N26" s="1">
        <f t="shared" si="5"/>
        <v>2017</v>
      </c>
    </row>
    <row r="27" ht="15.75" customHeight="1">
      <c r="A27" s="1" t="s">
        <v>14</v>
      </c>
      <c r="B27" s="1">
        <v>7764312.0</v>
      </c>
      <c r="C27" s="1" t="s">
        <v>126</v>
      </c>
      <c r="D27" s="1" t="s">
        <v>136</v>
      </c>
      <c r="E27" s="1" t="s">
        <v>137</v>
      </c>
      <c r="F27" s="1" t="s">
        <v>138</v>
      </c>
      <c r="G27" s="1" t="s">
        <v>19</v>
      </c>
      <c r="H27" s="1" t="s">
        <v>139</v>
      </c>
      <c r="I27" s="1" t="s">
        <v>140</v>
      </c>
      <c r="J27" s="1" t="str">
        <f t="shared" si="1"/>
        <v>Non-Compliant</v>
      </c>
      <c r="K27" s="1" t="str">
        <f t="shared" si="2"/>
        <v>Non-Incentive</v>
      </c>
      <c r="L27" s="1" t="str">
        <f t="shared" si="3"/>
        <v>TUG</v>
      </c>
      <c r="M27" s="1">
        <f t="shared" si="4"/>
        <v>3</v>
      </c>
      <c r="N27" s="1">
        <f t="shared" si="5"/>
        <v>2017</v>
      </c>
    </row>
    <row r="28" ht="15.75" customHeight="1">
      <c r="A28" s="1" t="s">
        <v>14</v>
      </c>
      <c r="B28" s="1">
        <v>7772989.0</v>
      </c>
      <c r="C28" s="1" t="s">
        <v>126</v>
      </c>
      <c r="D28" s="1" t="s">
        <v>141</v>
      </c>
      <c r="E28" s="1" t="s">
        <v>142</v>
      </c>
      <c r="F28" s="1" t="s">
        <v>143</v>
      </c>
      <c r="G28" s="1" t="s">
        <v>19</v>
      </c>
      <c r="H28" s="1" t="s">
        <v>144</v>
      </c>
      <c r="I28" s="1" t="s">
        <v>145</v>
      </c>
      <c r="J28" s="1" t="str">
        <f t="shared" si="1"/>
        <v>Non-Compliant</v>
      </c>
      <c r="K28" s="1" t="str">
        <f t="shared" si="2"/>
        <v>Non-Incentive</v>
      </c>
      <c r="L28" s="1" t="str">
        <f t="shared" si="3"/>
        <v>TUG</v>
      </c>
      <c r="M28" s="1">
        <f t="shared" si="4"/>
        <v>3</v>
      </c>
      <c r="N28" s="1">
        <f t="shared" si="5"/>
        <v>2017</v>
      </c>
    </row>
    <row r="29" ht="15.75" customHeight="1">
      <c r="A29" s="1" t="s">
        <v>14</v>
      </c>
      <c r="B29" s="1">
        <v>7774110.0</v>
      </c>
      <c r="C29" s="1" t="s">
        <v>126</v>
      </c>
      <c r="D29" s="1" t="s">
        <v>146</v>
      </c>
      <c r="E29" s="1" t="s">
        <v>147</v>
      </c>
      <c r="F29" s="1" t="s">
        <v>148</v>
      </c>
      <c r="G29" s="1" t="s">
        <v>37</v>
      </c>
      <c r="H29" s="1" t="s">
        <v>149</v>
      </c>
      <c r="I29" s="1" t="s">
        <v>150</v>
      </c>
      <c r="J29" s="1" t="str">
        <f t="shared" si="1"/>
        <v>Non-Compliant</v>
      </c>
      <c r="K29" s="1" t="str">
        <f t="shared" si="2"/>
        <v>Non-Incentive</v>
      </c>
      <c r="L29" s="1" t="str">
        <f t="shared" si="3"/>
        <v>TUG</v>
      </c>
      <c r="M29" s="1">
        <f t="shared" si="4"/>
        <v>3</v>
      </c>
      <c r="N29" s="1">
        <f t="shared" si="5"/>
        <v>2017</v>
      </c>
    </row>
    <row r="30" ht="15.75" customHeight="1">
      <c r="A30" s="1" t="s">
        <v>14</v>
      </c>
      <c r="B30" s="1">
        <v>7778178.0</v>
      </c>
      <c r="C30" s="1" t="s">
        <v>126</v>
      </c>
      <c r="D30" s="1" t="s">
        <v>151</v>
      </c>
      <c r="E30" s="1" t="s">
        <v>89</v>
      </c>
      <c r="F30" s="1" t="s">
        <v>152</v>
      </c>
      <c r="G30" s="1" t="s">
        <v>19</v>
      </c>
      <c r="H30" s="1" t="s">
        <v>153</v>
      </c>
      <c r="I30" s="1" t="s">
        <v>32</v>
      </c>
      <c r="J30" s="1" t="str">
        <f t="shared" si="1"/>
        <v>Non-Compliant</v>
      </c>
      <c r="K30" s="1" t="str">
        <f t="shared" si="2"/>
        <v>Non-Incentive</v>
      </c>
      <c r="L30" s="1" t="str">
        <f t="shared" si="3"/>
        <v>TUG</v>
      </c>
      <c r="M30" s="1">
        <f t="shared" si="4"/>
        <v>3</v>
      </c>
      <c r="N30" s="1">
        <f t="shared" si="5"/>
        <v>2017</v>
      </c>
    </row>
    <row r="31" ht="15.75" customHeight="1">
      <c r="A31" s="1" t="s">
        <v>14</v>
      </c>
      <c r="B31" s="1">
        <v>7782282.0</v>
      </c>
      <c r="C31" s="1" t="s">
        <v>126</v>
      </c>
      <c r="D31" s="1" t="s">
        <v>154</v>
      </c>
      <c r="E31" s="1" t="s">
        <v>155</v>
      </c>
      <c r="F31" s="1" t="s">
        <v>156</v>
      </c>
      <c r="G31" s="1" t="s">
        <v>19</v>
      </c>
      <c r="H31" s="1" t="s">
        <v>157</v>
      </c>
      <c r="I31" s="1" t="s">
        <v>158</v>
      </c>
      <c r="J31" s="1" t="str">
        <f t="shared" si="1"/>
        <v>Non-Compliant</v>
      </c>
      <c r="K31" s="1" t="str">
        <f t="shared" si="2"/>
        <v>Non-Incentive</v>
      </c>
      <c r="L31" s="1" t="str">
        <f t="shared" si="3"/>
        <v>TUG</v>
      </c>
      <c r="M31" s="1">
        <f t="shared" si="4"/>
        <v>3</v>
      </c>
      <c r="N31" s="1">
        <f t="shared" si="5"/>
        <v>2017</v>
      </c>
    </row>
    <row r="32" ht="15.75" customHeight="1">
      <c r="A32" s="1" t="s">
        <v>14</v>
      </c>
      <c r="B32" s="1">
        <v>7791798.0</v>
      </c>
      <c r="C32" s="1" t="s">
        <v>159</v>
      </c>
      <c r="D32" s="1" t="s">
        <v>160</v>
      </c>
      <c r="E32" s="1" t="s">
        <v>155</v>
      </c>
      <c r="F32" s="1" t="s">
        <v>161</v>
      </c>
      <c r="G32" s="1" t="s">
        <v>19</v>
      </c>
      <c r="H32" s="1" t="s">
        <v>162</v>
      </c>
      <c r="I32" s="1" t="s">
        <v>163</v>
      </c>
      <c r="J32" s="1" t="str">
        <f t="shared" si="1"/>
        <v>Non-Compliant</v>
      </c>
      <c r="K32" s="1" t="str">
        <f t="shared" si="2"/>
        <v>Non-Incentive</v>
      </c>
      <c r="L32" s="1" t="str">
        <f t="shared" si="3"/>
        <v>TUG</v>
      </c>
      <c r="M32" s="1">
        <f t="shared" si="4"/>
        <v>3</v>
      </c>
      <c r="N32" s="1">
        <f t="shared" si="5"/>
        <v>2017</v>
      </c>
    </row>
    <row r="33" ht="15.75" customHeight="1">
      <c r="A33" s="1" t="s">
        <v>14</v>
      </c>
      <c r="B33" s="1">
        <v>7794172.0</v>
      </c>
      <c r="C33" s="1" t="s">
        <v>159</v>
      </c>
      <c r="D33" s="1" t="s">
        <v>164</v>
      </c>
      <c r="E33" s="1" t="s">
        <v>165</v>
      </c>
      <c r="F33" s="1" t="s">
        <v>166</v>
      </c>
      <c r="G33" s="1" t="s">
        <v>19</v>
      </c>
      <c r="H33" s="1" t="s">
        <v>167</v>
      </c>
      <c r="I33" s="1" t="s">
        <v>168</v>
      </c>
      <c r="J33" s="1" t="str">
        <f t="shared" si="1"/>
        <v>Non-Compliant</v>
      </c>
      <c r="K33" s="1" t="str">
        <f t="shared" si="2"/>
        <v>Non-Incentive</v>
      </c>
      <c r="L33" s="1" t="str">
        <f t="shared" si="3"/>
        <v>TUG</v>
      </c>
      <c r="M33" s="1">
        <f t="shared" si="4"/>
        <v>3</v>
      </c>
      <c r="N33" s="1">
        <f t="shared" si="5"/>
        <v>2017</v>
      </c>
    </row>
    <row r="34" ht="15.75" customHeight="1">
      <c r="A34" s="1" t="s">
        <v>14</v>
      </c>
      <c r="B34" s="1">
        <v>7795473.0</v>
      </c>
      <c r="C34" s="1" t="s">
        <v>159</v>
      </c>
      <c r="D34" s="1" t="s">
        <v>169</v>
      </c>
      <c r="E34" s="1" t="s">
        <v>170</v>
      </c>
      <c r="F34" s="1" t="s">
        <v>171</v>
      </c>
      <c r="G34" s="1" t="s">
        <v>19</v>
      </c>
      <c r="H34" s="1" t="s">
        <v>172</v>
      </c>
      <c r="I34" s="1" t="s">
        <v>173</v>
      </c>
      <c r="J34" s="1" t="str">
        <f t="shared" si="1"/>
        <v>Non-Compliant</v>
      </c>
      <c r="K34" s="1" t="str">
        <f t="shared" si="2"/>
        <v>Non-Incentive</v>
      </c>
      <c r="L34" s="1" t="str">
        <f t="shared" si="3"/>
        <v>TUG</v>
      </c>
      <c r="M34" s="1">
        <f t="shared" si="4"/>
        <v>3</v>
      </c>
      <c r="N34" s="1">
        <f t="shared" si="5"/>
        <v>2017</v>
      </c>
    </row>
    <row r="35" ht="15.75" customHeight="1">
      <c r="A35" s="1" t="s">
        <v>14</v>
      </c>
      <c r="B35" s="1">
        <v>7796181.0</v>
      </c>
      <c r="C35" s="1" t="s">
        <v>159</v>
      </c>
      <c r="D35" s="1" t="s">
        <v>174</v>
      </c>
      <c r="E35" s="1" t="s">
        <v>175</v>
      </c>
      <c r="F35" s="1" t="s">
        <v>156</v>
      </c>
      <c r="G35" s="1" t="s">
        <v>176</v>
      </c>
      <c r="H35" s="1" t="s">
        <v>177</v>
      </c>
      <c r="I35" s="1" t="s">
        <v>122</v>
      </c>
      <c r="J35" s="1" t="str">
        <f t="shared" si="1"/>
        <v>Non-Compliant</v>
      </c>
      <c r="K35" s="1" t="str">
        <f t="shared" si="2"/>
        <v>Non-Incentive</v>
      </c>
      <c r="L35" s="1" t="str">
        <f t="shared" si="3"/>
        <v>TUG</v>
      </c>
      <c r="M35" s="1">
        <f t="shared" si="4"/>
        <v>3</v>
      </c>
      <c r="N35" s="1">
        <f t="shared" si="5"/>
        <v>2017</v>
      </c>
    </row>
    <row r="36" ht="15.75" customHeight="1">
      <c r="A36" s="1" t="s">
        <v>14</v>
      </c>
      <c r="B36" s="1">
        <v>7800720.0</v>
      </c>
      <c r="C36" s="1" t="s">
        <v>159</v>
      </c>
      <c r="D36" s="1" t="s">
        <v>178</v>
      </c>
      <c r="E36" s="1" t="s">
        <v>175</v>
      </c>
      <c r="F36" s="1" t="s">
        <v>179</v>
      </c>
      <c r="G36" s="1" t="s">
        <v>19</v>
      </c>
      <c r="H36" s="1" t="s">
        <v>180</v>
      </c>
      <c r="I36" s="1" t="s">
        <v>181</v>
      </c>
      <c r="J36" s="1" t="str">
        <f t="shared" si="1"/>
        <v>Non-Compliant</v>
      </c>
      <c r="K36" s="1" t="str">
        <f t="shared" si="2"/>
        <v>Non-Incentive</v>
      </c>
      <c r="L36" s="1" t="str">
        <f t="shared" si="3"/>
        <v>TUG</v>
      </c>
      <c r="M36" s="1">
        <f t="shared" si="4"/>
        <v>3</v>
      </c>
      <c r="N36" s="1">
        <f t="shared" si="5"/>
        <v>2017</v>
      </c>
    </row>
    <row r="37" ht="15.75" customHeight="1">
      <c r="A37" s="1" t="s">
        <v>14</v>
      </c>
      <c r="B37" s="1">
        <v>7804407.0</v>
      </c>
      <c r="C37" s="1" t="s">
        <v>159</v>
      </c>
      <c r="D37" s="1" t="s">
        <v>182</v>
      </c>
      <c r="E37" s="1" t="s">
        <v>183</v>
      </c>
      <c r="F37" s="1" t="s">
        <v>184</v>
      </c>
      <c r="G37" s="1" t="s">
        <v>37</v>
      </c>
      <c r="H37" s="1" t="s">
        <v>185</v>
      </c>
      <c r="I37" s="1" t="s">
        <v>186</v>
      </c>
      <c r="J37" s="1" t="str">
        <f t="shared" si="1"/>
        <v>Non-Compliant</v>
      </c>
      <c r="K37" s="1" t="str">
        <f t="shared" si="2"/>
        <v>Non-Incentive</v>
      </c>
      <c r="L37" s="1" t="str">
        <f t="shared" si="3"/>
        <v>TUG</v>
      </c>
      <c r="M37" s="1">
        <f t="shared" si="4"/>
        <v>3</v>
      </c>
      <c r="N37" s="1">
        <f t="shared" si="5"/>
        <v>2017</v>
      </c>
    </row>
    <row r="38" ht="15.75" customHeight="1">
      <c r="A38" s="1" t="s">
        <v>14</v>
      </c>
      <c r="B38" s="1">
        <v>7812525.0</v>
      </c>
      <c r="C38" s="1" t="s">
        <v>187</v>
      </c>
      <c r="D38" s="1" t="s">
        <v>188</v>
      </c>
      <c r="E38" s="1" t="s">
        <v>189</v>
      </c>
      <c r="F38" s="1" t="s">
        <v>190</v>
      </c>
      <c r="G38" s="1" t="s">
        <v>19</v>
      </c>
      <c r="H38" s="1" t="s">
        <v>191</v>
      </c>
      <c r="I38" s="1" t="s">
        <v>192</v>
      </c>
      <c r="J38" s="1" t="str">
        <f t="shared" si="1"/>
        <v>Non-Compliant</v>
      </c>
      <c r="K38" s="1" t="str">
        <f t="shared" si="2"/>
        <v>Non-Incentive</v>
      </c>
      <c r="L38" s="1" t="str">
        <f t="shared" si="3"/>
        <v>TUG</v>
      </c>
      <c r="M38" s="1">
        <f t="shared" si="4"/>
        <v>3</v>
      </c>
      <c r="N38" s="1">
        <f t="shared" si="5"/>
        <v>2017</v>
      </c>
    </row>
    <row r="39" ht="15.75" customHeight="1">
      <c r="A39" s="1" t="s">
        <v>14</v>
      </c>
      <c r="B39" s="1">
        <v>7826835.0</v>
      </c>
      <c r="C39" s="1" t="s">
        <v>187</v>
      </c>
      <c r="D39" s="1" t="s">
        <v>193</v>
      </c>
      <c r="E39" s="1" t="s">
        <v>194</v>
      </c>
      <c r="F39" s="1" t="s">
        <v>195</v>
      </c>
      <c r="G39" s="1" t="s">
        <v>19</v>
      </c>
      <c r="H39" s="1" t="s">
        <v>196</v>
      </c>
      <c r="I39" s="1" t="s">
        <v>32</v>
      </c>
      <c r="J39" s="1" t="str">
        <f t="shared" si="1"/>
        <v>Non-Compliant</v>
      </c>
      <c r="K39" s="1" t="str">
        <f t="shared" si="2"/>
        <v>Non-Incentive</v>
      </c>
      <c r="L39" s="1" t="str">
        <f t="shared" si="3"/>
        <v>TUG</v>
      </c>
      <c r="M39" s="1">
        <f t="shared" si="4"/>
        <v>3</v>
      </c>
      <c r="N39" s="1">
        <f t="shared" si="5"/>
        <v>2017</v>
      </c>
    </row>
    <row r="40" ht="15.75" customHeight="1">
      <c r="A40" s="1" t="s">
        <v>14</v>
      </c>
      <c r="B40" s="1">
        <v>7835799.0</v>
      </c>
      <c r="C40" s="1" t="s">
        <v>197</v>
      </c>
      <c r="D40" s="1" t="s">
        <v>198</v>
      </c>
      <c r="E40" s="1" t="s">
        <v>175</v>
      </c>
      <c r="F40" s="1" t="s">
        <v>199</v>
      </c>
      <c r="G40" s="1" t="s">
        <v>19</v>
      </c>
      <c r="H40" s="1" t="s">
        <v>200</v>
      </c>
      <c r="I40" s="1" t="s">
        <v>32</v>
      </c>
      <c r="J40" s="1" t="str">
        <f t="shared" si="1"/>
        <v>Non-Compliant</v>
      </c>
      <c r="K40" s="1" t="str">
        <f t="shared" si="2"/>
        <v>Non-Incentive</v>
      </c>
      <c r="L40" s="1" t="str">
        <f t="shared" si="3"/>
        <v>TUG</v>
      </c>
      <c r="M40" s="1">
        <f t="shared" si="4"/>
        <v>3</v>
      </c>
      <c r="N40" s="1">
        <f t="shared" si="5"/>
        <v>2017</v>
      </c>
    </row>
    <row r="41" ht="15.75" customHeight="1">
      <c r="A41" s="1" t="s">
        <v>14</v>
      </c>
      <c r="B41" s="1">
        <v>7849871.0</v>
      </c>
      <c r="C41" s="1" t="s">
        <v>197</v>
      </c>
      <c r="D41" s="1" t="s">
        <v>201</v>
      </c>
      <c r="E41" s="1" t="s">
        <v>202</v>
      </c>
      <c r="F41" s="1" t="s">
        <v>203</v>
      </c>
      <c r="G41" s="1" t="s">
        <v>19</v>
      </c>
      <c r="H41" s="1" t="s">
        <v>204</v>
      </c>
      <c r="I41" s="1" t="s">
        <v>205</v>
      </c>
      <c r="J41" s="1" t="str">
        <f t="shared" si="1"/>
        <v>Non-Compliant</v>
      </c>
      <c r="K41" s="1" t="str">
        <f t="shared" si="2"/>
        <v>Non-Incentive</v>
      </c>
      <c r="L41" s="1" t="str">
        <f t="shared" si="3"/>
        <v>TUG</v>
      </c>
      <c r="M41" s="1">
        <f t="shared" si="4"/>
        <v>3</v>
      </c>
      <c r="N41" s="1">
        <f t="shared" si="5"/>
        <v>2017</v>
      </c>
    </row>
    <row r="42" ht="15.75" customHeight="1">
      <c r="A42" s="1" t="s">
        <v>14</v>
      </c>
      <c r="B42" s="1">
        <v>7852739.0</v>
      </c>
      <c r="C42" s="1" t="s">
        <v>197</v>
      </c>
      <c r="D42" s="1" t="s">
        <v>206</v>
      </c>
      <c r="E42" s="1" t="s">
        <v>128</v>
      </c>
      <c r="F42" s="1" t="s">
        <v>207</v>
      </c>
      <c r="G42" s="1" t="s">
        <v>19</v>
      </c>
      <c r="H42" s="1" t="s">
        <v>208</v>
      </c>
      <c r="I42" s="1" t="s">
        <v>209</v>
      </c>
      <c r="J42" s="1" t="str">
        <f t="shared" si="1"/>
        <v>Non-Compliant</v>
      </c>
      <c r="K42" s="1" t="str">
        <f t="shared" si="2"/>
        <v>Non-Incentive</v>
      </c>
      <c r="L42" s="1" t="str">
        <f t="shared" si="3"/>
        <v>TUG</v>
      </c>
      <c r="M42" s="1">
        <f t="shared" si="4"/>
        <v>3</v>
      </c>
      <c r="N42" s="1">
        <f t="shared" si="5"/>
        <v>2017</v>
      </c>
    </row>
    <row r="43" ht="15.75" customHeight="1">
      <c r="A43" s="1" t="s">
        <v>14</v>
      </c>
      <c r="B43" s="1">
        <v>7862536.0</v>
      </c>
      <c r="C43" s="1" t="s">
        <v>210</v>
      </c>
      <c r="D43" s="1" t="s">
        <v>211</v>
      </c>
      <c r="E43" s="1" t="s">
        <v>147</v>
      </c>
      <c r="F43" s="1" t="s">
        <v>212</v>
      </c>
      <c r="G43" s="1" t="s">
        <v>37</v>
      </c>
      <c r="H43" s="1" t="s">
        <v>213</v>
      </c>
      <c r="I43" s="1" t="s">
        <v>32</v>
      </c>
      <c r="J43" s="1" t="str">
        <f t="shared" si="1"/>
        <v>Non-Compliant</v>
      </c>
      <c r="K43" s="1" t="str">
        <f t="shared" si="2"/>
        <v>Non-Incentive</v>
      </c>
      <c r="L43" s="1" t="str">
        <f t="shared" si="3"/>
        <v>TUG</v>
      </c>
      <c r="M43" s="1">
        <f t="shared" si="4"/>
        <v>3</v>
      </c>
      <c r="N43" s="1">
        <f t="shared" si="5"/>
        <v>2017</v>
      </c>
    </row>
    <row r="44" ht="15.75" customHeight="1">
      <c r="A44" s="1" t="s">
        <v>14</v>
      </c>
      <c r="B44" s="1">
        <v>7877440.0</v>
      </c>
      <c r="C44" s="1" t="s">
        <v>214</v>
      </c>
      <c r="D44" s="1" t="s">
        <v>215</v>
      </c>
      <c r="E44" s="1" t="s">
        <v>142</v>
      </c>
      <c r="F44" s="1" t="s">
        <v>216</v>
      </c>
      <c r="G44" s="1" t="s">
        <v>19</v>
      </c>
      <c r="H44" s="1" t="s">
        <v>217</v>
      </c>
      <c r="I44" s="1" t="s">
        <v>218</v>
      </c>
      <c r="J44" s="1" t="str">
        <f t="shared" si="1"/>
        <v>Non-Compliant</v>
      </c>
      <c r="K44" s="1" t="str">
        <f t="shared" si="2"/>
        <v>Non-Incentive</v>
      </c>
      <c r="L44" s="1" t="str">
        <f t="shared" si="3"/>
        <v>TUG</v>
      </c>
      <c r="M44" s="1">
        <f t="shared" si="4"/>
        <v>3</v>
      </c>
      <c r="N44" s="1">
        <f t="shared" si="5"/>
        <v>2017</v>
      </c>
    </row>
    <row r="45" ht="15.75" customHeight="1">
      <c r="A45" s="1" t="s">
        <v>14</v>
      </c>
      <c r="B45" s="1">
        <v>7891039.0</v>
      </c>
      <c r="C45" s="1" t="s">
        <v>214</v>
      </c>
      <c r="D45" s="1" t="s">
        <v>219</v>
      </c>
      <c r="E45" s="1" t="s">
        <v>220</v>
      </c>
      <c r="F45" s="1" t="s">
        <v>221</v>
      </c>
      <c r="G45" s="1" t="s">
        <v>19</v>
      </c>
      <c r="H45" s="1" t="s">
        <v>222</v>
      </c>
      <c r="I45" s="1" t="s">
        <v>32</v>
      </c>
      <c r="J45" s="1" t="str">
        <f t="shared" si="1"/>
        <v>Non-Compliant</v>
      </c>
      <c r="K45" s="1" t="str">
        <f t="shared" si="2"/>
        <v>Non-Incentive</v>
      </c>
      <c r="L45" s="1" t="str">
        <f t="shared" si="3"/>
        <v>TUG</v>
      </c>
      <c r="M45" s="1">
        <f t="shared" si="4"/>
        <v>3</v>
      </c>
      <c r="N45" s="1">
        <f t="shared" si="5"/>
        <v>2017</v>
      </c>
    </row>
    <row r="46" ht="15.75" customHeight="1">
      <c r="A46" s="1" t="s">
        <v>14</v>
      </c>
      <c r="B46" s="1">
        <v>7891796.0</v>
      </c>
      <c r="C46" s="1" t="s">
        <v>214</v>
      </c>
      <c r="D46" s="1" t="s">
        <v>223</v>
      </c>
      <c r="E46" s="1" t="s">
        <v>128</v>
      </c>
      <c r="F46" s="1" t="s">
        <v>224</v>
      </c>
      <c r="G46" s="1" t="s">
        <v>19</v>
      </c>
      <c r="H46" s="1" t="s">
        <v>225</v>
      </c>
      <c r="I46" s="1" t="s">
        <v>226</v>
      </c>
      <c r="J46" s="1" t="str">
        <f t="shared" si="1"/>
        <v>Non-Compliant</v>
      </c>
      <c r="K46" s="1" t="str">
        <f t="shared" si="2"/>
        <v>Non-Incentive</v>
      </c>
      <c r="L46" s="1" t="str">
        <f t="shared" si="3"/>
        <v>TUG</v>
      </c>
      <c r="M46" s="1">
        <f t="shared" si="4"/>
        <v>3</v>
      </c>
      <c r="N46" s="1">
        <f t="shared" si="5"/>
        <v>2017</v>
      </c>
    </row>
    <row r="47" ht="15.75" customHeight="1">
      <c r="A47" s="1" t="s">
        <v>14</v>
      </c>
      <c r="B47" s="1">
        <v>7903729.0</v>
      </c>
      <c r="C47" s="1" t="s">
        <v>227</v>
      </c>
      <c r="D47" s="1" t="s">
        <v>228</v>
      </c>
      <c r="E47" s="1" t="s">
        <v>229</v>
      </c>
      <c r="F47" s="1" t="s">
        <v>230</v>
      </c>
      <c r="G47" s="1" t="s">
        <v>19</v>
      </c>
      <c r="H47" s="1" t="s">
        <v>231</v>
      </c>
      <c r="I47" s="1" t="s">
        <v>232</v>
      </c>
      <c r="J47" s="1" t="str">
        <f t="shared" si="1"/>
        <v>Non-Compliant</v>
      </c>
      <c r="K47" s="1" t="str">
        <f t="shared" si="2"/>
        <v>Non-Incentive</v>
      </c>
      <c r="L47" s="1" t="str">
        <f t="shared" si="3"/>
        <v>TUG</v>
      </c>
      <c r="M47" s="1">
        <f t="shared" si="4"/>
        <v>3</v>
      </c>
      <c r="N47" s="1">
        <f t="shared" si="5"/>
        <v>2017</v>
      </c>
    </row>
    <row r="48" ht="15.75" customHeight="1">
      <c r="A48" s="1" t="s">
        <v>14</v>
      </c>
      <c r="B48" s="1">
        <v>7905312.0</v>
      </c>
      <c r="C48" s="1" t="s">
        <v>227</v>
      </c>
      <c r="D48" s="1" t="s">
        <v>233</v>
      </c>
      <c r="E48" s="1" t="s">
        <v>234</v>
      </c>
      <c r="F48" s="1" t="s">
        <v>235</v>
      </c>
      <c r="G48" s="1" t="s">
        <v>19</v>
      </c>
      <c r="H48" s="1" t="s">
        <v>236</v>
      </c>
      <c r="I48" s="1" t="s">
        <v>237</v>
      </c>
      <c r="J48" s="1" t="str">
        <f t="shared" si="1"/>
        <v>Non-Compliant</v>
      </c>
      <c r="K48" s="1" t="str">
        <f t="shared" si="2"/>
        <v>Non-Incentive</v>
      </c>
      <c r="L48" s="1" t="str">
        <f t="shared" si="3"/>
        <v>TUG</v>
      </c>
      <c r="M48" s="1">
        <f t="shared" si="4"/>
        <v>3</v>
      </c>
      <c r="N48" s="1">
        <f t="shared" si="5"/>
        <v>2017</v>
      </c>
    </row>
    <row r="49" ht="15.75" customHeight="1">
      <c r="A49" s="1" t="s">
        <v>14</v>
      </c>
      <c r="B49" s="1">
        <v>7909008.0</v>
      </c>
      <c r="C49" s="1" t="s">
        <v>227</v>
      </c>
      <c r="D49" s="1" t="s">
        <v>238</v>
      </c>
      <c r="E49" s="1" t="s">
        <v>239</v>
      </c>
      <c r="F49" s="1" t="s">
        <v>240</v>
      </c>
      <c r="G49" s="1" t="s">
        <v>19</v>
      </c>
      <c r="H49" s="1" t="s">
        <v>241</v>
      </c>
      <c r="I49" s="1" t="s">
        <v>242</v>
      </c>
      <c r="J49" s="1" t="str">
        <f t="shared" si="1"/>
        <v>Non-Compliant</v>
      </c>
      <c r="K49" s="1" t="str">
        <f t="shared" si="2"/>
        <v>Non-Incentive</v>
      </c>
      <c r="L49" s="1" t="str">
        <f t="shared" si="3"/>
        <v>TUG</v>
      </c>
      <c r="M49" s="1">
        <f t="shared" si="4"/>
        <v>3</v>
      </c>
      <c r="N49" s="1">
        <f t="shared" si="5"/>
        <v>2017</v>
      </c>
    </row>
    <row r="50" ht="15.75" customHeight="1">
      <c r="A50" s="1" t="s">
        <v>14</v>
      </c>
      <c r="B50" s="1">
        <v>7918086.0</v>
      </c>
      <c r="C50" s="1" t="s">
        <v>227</v>
      </c>
      <c r="D50" s="1" t="s">
        <v>243</v>
      </c>
      <c r="E50" s="1" t="s">
        <v>142</v>
      </c>
      <c r="F50" s="1" t="s">
        <v>216</v>
      </c>
      <c r="G50" s="1" t="s">
        <v>19</v>
      </c>
      <c r="H50" s="1" t="s">
        <v>244</v>
      </c>
      <c r="I50" s="1" t="s">
        <v>218</v>
      </c>
      <c r="J50" s="1" t="str">
        <f t="shared" si="1"/>
        <v>Non-Compliant</v>
      </c>
      <c r="K50" s="1" t="str">
        <f t="shared" si="2"/>
        <v>Non-Incentive</v>
      </c>
      <c r="L50" s="1" t="str">
        <f t="shared" si="3"/>
        <v>TUG</v>
      </c>
      <c r="M50" s="1">
        <f t="shared" si="4"/>
        <v>3</v>
      </c>
      <c r="N50" s="1">
        <f t="shared" si="5"/>
        <v>2017</v>
      </c>
    </row>
    <row r="51" ht="15.75" customHeight="1">
      <c r="A51" s="1" t="s">
        <v>14</v>
      </c>
      <c r="B51" s="1">
        <v>7924066.0</v>
      </c>
      <c r="C51" s="1" t="s">
        <v>245</v>
      </c>
      <c r="D51" s="1" t="s">
        <v>246</v>
      </c>
      <c r="E51" s="1" t="s">
        <v>247</v>
      </c>
      <c r="F51" s="1" t="s">
        <v>248</v>
      </c>
      <c r="G51" s="1" t="s">
        <v>19</v>
      </c>
      <c r="H51" s="1" t="s">
        <v>249</v>
      </c>
      <c r="I51" s="1" t="s">
        <v>250</v>
      </c>
      <c r="J51" s="1" t="str">
        <f t="shared" si="1"/>
        <v>Non-Compliant</v>
      </c>
      <c r="K51" s="1" t="str">
        <f t="shared" si="2"/>
        <v>Non-Incentive</v>
      </c>
      <c r="L51" s="1" t="str">
        <f t="shared" si="3"/>
        <v>TUG</v>
      </c>
      <c r="M51" s="1">
        <f t="shared" si="4"/>
        <v>3</v>
      </c>
      <c r="N51" s="1">
        <f t="shared" si="5"/>
        <v>2017</v>
      </c>
    </row>
    <row r="52" ht="15.75" customHeight="1">
      <c r="A52" s="1" t="s">
        <v>14</v>
      </c>
      <c r="B52" s="1">
        <v>7935521.0</v>
      </c>
      <c r="C52" s="1" t="s">
        <v>245</v>
      </c>
      <c r="D52" s="1" t="s">
        <v>251</v>
      </c>
      <c r="E52" s="1" t="s">
        <v>234</v>
      </c>
      <c r="F52" s="1" t="s">
        <v>230</v>
      </c>
      <c r="G52" s="1" t="s">
        <v>19</v>
      </c>
      <c r="H52" s="1" t="s">
        <v>252</v>
      </c>
      <c r="I52" s="1" t="s">
        <v>32</v>
      </c>
      <c r="J52" s="1" t="str">
        <f t="shared" si="1"/>
        <v>Non-Compliant</v>
      </c>
      <c r="K52" s="1" t="str">
        <f t="shared" si="2"/>
        <v>Non-Incentive</v>
      </c>
      <c r="L52" s="1" t="str">
        <f t="shared" si="3"/>
        <v>TUG</v>
      </c>
      <c r="M52" s="1">
        <f t="shared" si="4"/>
        <v>3</v>
      </c>
      <c r="N52" s="1">
        <f t="shared" si="5"/>
        <v>2017</v>
      </c>
    </row>
    <row r="53" ht="15.75" customHeight="1">
      <c r="A53" s="1" t="s">
        <v>14</v>
      </c>
      <c r="B53" s="1">
        <v>7944561.0</v>
      </c>
      <c r="C53" s="1" t="s">
        <v>245</v>
      </c>
      <c r="D53" s="1" t="s">
        <v>253</v>
      </c>
      <c r="E53" s="1" t="s">
        <v>254</v>
      </c>
      <c r="F53" s="1" t="s">
        <v>255</v>
      </c>
      <c r="G53" s="1" t="s">
        <v>19</v>
      </c>
      <c r="H53" s="1" t="s">
        <v>256</v>
      </c>
      <c r="I53" s="1" t="s">
        <v>257</v>
      </c>
      <c r="J53" s="1" t="str">
        <f t="shared" si="1"/>
        <v>Non-Compliant</v>
      </c>
      <c r="K53" s="1" t="str">
        <f t="shared" si="2"/>
        <v>Non-Incentive</v>
      </c>
      <c r="L53" s="1" t="str">
        <f t="shared" si="3"/>
        <v>TUG</v>
      </c>
      <c r="M53" s="1">
        <f t="shared" si="4"/>
        <v>3</v>
      </c>
      <c r="N53" s="1">
        <f t="shared" si="5"/>
        <v>2017</v>
      </c>
    </row>
    <row r="54" ht="15.75" customHeight="1">
      <c r="A54" s="1" t="s">
        <v>14</v>
      </c>
      <c r="B54" s="1">
        <v>7945866.0</v>
      </c>
      <c r="C54" s="1" t="s">
        <v>245</v>
      </c>
      <c r="D54" s="1" t="s">
        <v>258</v>
      </c>
      <c r="E54" s="1" t="s">
        <v>259</v>
      </c>
      <c r="F54" s="1" t="s">
        <v>190</v>
      </c>
      <c r="G54" s="1" t="s">
        <v>37</v>
      </c>
      <c r="H54" s="1" t="s">
        <v>260</v>
      </c>
      <c r="I54" s="1" t="s">
        <v>192</v>
      </c>
      <c r="J54" s="1" t="str">
        <f t="shared" si="1"/>
        <v>Non-Compliant</v>
      </c>
      <c r="K54" s="1" t="str">
        <f t="shared" si="2"/>
        <v>Non-Incentive</v>
      </c>
      <c r="L54" s="1" t="str">
        <f t="shared" si="3"/>
        <v>TUG</v>
      </c>
      <c r="M54" s="1">
        <f t="shared" si="4"/>
        <v>3</v>
      </c>
      <c r="N54" s="1">
        <f t="shared" si="5"/>
        <v>2017</v>
      </c>
    </row>
    <row r="55" ht="15.75" customHeight="1">
      <c r="A55" s="1" t="s">
        <v>14</v>
      </c>
      <c r="B55" s="1">
        <v>7955843.0</v>
      </c>
      <c r="C55" s="1" t="s">
        <v>261</v>
      </c>
      <c r="D55" s="1" t="s">
        <v>262</v>
      </c>
      <c r="E55" s="1" t="s">
        <v>263</v>
      </c>
      <c r="F55" s="1" t="s">
        <v>264</v>
      </c>
      <c r="G55" s="1" t="s">
        <v>19</v>
      </c>
      <c r="H55" s="1" t="s">
        <v>265</v>
      </c>
      <c r="I55" s="1" t="s">
        <v>32</v>
      </c>
      <c r="J55" s="1" t="str">
        <f t="shared" si="1"/>
        <v>Non-Compliant</v>
      </c>
      <c r="K55" s="1" t="str">
        <f t="shared" si="2"/>
        <v>Non-Incentive</v>
      </c>
      <c r="L55" s="1" t="str">
        <f t="shared" si="3"/>
        <v>TUG</v>
      </c>
      <c r="M55" s="1">
        <f t="shared" si="4"/>
        <v>3</v>
      </c>
      <c r="N55" s="1">
        <f t="shared" si="5"/>
        <v>2017</v>
      </c>
    </row>
    <row r="56" ht="15.75" customHeight="1">
      <c r="A56" s="1" t="s">
        <v>14</v>
      </c>
      <c r="B56" s="1">
        <v>7958295.0</v>
      </c>
      <c r="C56" s="1" t="s">
        <v>261</v>
      </c>
      <c r="D56" s="1" t="s">
        <v>266</v>
      </c>
      <c r="E56" s="1" t="s">
        <v>267</v>
      </c>
      <c r="F56" s="1" t="s">
        <v>268</v>
      </c>
      <c r="G56" s="1" t="s">
        <v>19</v>
      </c>
      <c r="H56" s="1" t="s">
        <v>269</v>
      </c>
      <c r="I56" s="1" t="s">
        <v>32</v>
      </c>
      <c r="J56" s="1" t="str">
        <f t="shared" si="1"/>
        <v>Non-Compliant</v>
      </c>
      <c r="K56" s="1" t="str">
        <f t="shared" si="2"/>
        <v>Non-Incentive</v>
      </c>
      <c r="L56" s="1" t="str">
        <f t="shared" si="3"/>
        <v>TUG</v>
      </c>
      <c r="M56" s="1">
        <f t="shared" si="4"/>
        <v>3</v>
      </c>
      <c r="N56" s="1">
        <f t="shared" si="5"/>
        <v>2017</v>
      </c>
    </row>
    <row r="57" ht="15.75" customHeight="1">
      <c r="A57" s="1" t="s">
        <v>14</v>
      </c>
      <c r="B57" s="1">
        <v>7961683.0</v>
      </c>
      <c r="C57" s="1" t="s">
        <v>261</v>
      </c>
      <c r="D57" s="1" t="s">
        <v>270</v>
      </c>
      <c r="E57" s="1" t="s">
        <v>234</v>
      </c>
      <c r="F57" s="1" t="s">
        <v>230</v>
      </c>
      <c r="G57" s="1" t="s">
        <v>19</v>
      </c>
      <c r="H57" s="1" t="s">
        <v>271</v>
      </c>
      <c r="I57" s="1" t="s">
        <v>272</v>
      </c>
      <c r="J57" s="1" t="str">
        <f t="shared" si="1"/>
        <v>Non-Compliant</v>
      </c>
      <c r="K57" s="1" t="str">
        <f t="shared" si="2"/>
        <v>Non-Incentive</v>
      </c>
      <c r="L57" s="1" t="str">
        <f t="shared" si="3"/>
        <v>TUG</v>
      </c>
      <c r="M57" s="1">
        <f t="shared" si="4"/>
        <v>3</v>
      </c>
      <c r="N57" s="1">
        <f t="shared" si="5"/>
        <v>2017</v>
      </c>
    </row>
    <row r="58" ht="15.75" customHeight="1">
      <c r="A58" s="1" t="s">
        <v>14</v>
      </c>
      <c r="B58" s="1">
        <v>7968231.0</v>
      </c>
      <c r="C58" s="1" t="s">
        <v>261</v>
      </c>
      <c r="D58" s="1" t="s">
        <v>273</v>
      </c>
      <c r="E58" s="1" t="s">
        <v>274</v>
      </c>
      <c r="F58" s="1" t="s">
        <v>275</v>
      </c>
      <c r="G58" s="1" t="s">
        <v>37</v>
      </c>
      <c r="H58" s="1" t="s">
        <v>276</v>
      </c>
      <c r="I58" s="1" t="s">
        <v>218</v>
      </c>
      <c r="J58" s="1" t="str">
        <f t="shared" si="1"/>
        <v>Non-Compliant</v>
      </c>
      <c r="K58" s="1" t="str">
        <f t="shared" si="2"/>
        <v>Non-Incentive</v>
      </c>
      <c r="L58" s="1" t="str">
        <f t="shared" si="3"/>
        <v>TUG</v>
      </c>
      <c r="M58" s="1">
        <f t="shared" si="4"/>
        <v>3</v>
      </c>
      <c r="N58" s="1">
        <f t="shared" si="5"/>
        <v>2017</v>
      </c>
    </row>
    <row r="59" ht="15.75" customHeight="1">
      <c r="A59" s="1" t="s">
        <v>14</v>
      </c>
      <c r="B59" s="1">
        <v>7970037.0</v>
      </c>
      <c r="C59" s="1" t="s">
        <v>261</v>
      </c>
      <c r="D59" s="1" t="s">
        <v>277</v>
      </c>
      <c r="E59" s="1" t="s">
        <v>278</v>
      </c>
      <c r="F59" s="1" t="s">
        <v>279</v>
      </c>
      <c r="G59" s="1" t="s">
        <v>19</v>
      </c>
      <c r="H59" s="1" t="s">
        <v>280</v>
      </c>
      <c r="I59" s="1" t="s">
        <v>281</v>
      </c>
      <c r="J59" s="1" t="str">
        <f t="shared" si="1"/>
        <v>Non-Compliant</v>
      </c>
      <c r="K59" s="1" t="str">
        <f t="shared" si="2"/>
        <v>Non-Incentive</v>
      </c>
      <c r="L59" s="1" t="str">
        <f t="shared" si="3"/>
        <v>TUG</v>
      </c>
      <c r="M59" s="1">
        <f t="shared" si="4"/>
        <v>3</v>
      </c>
      <c r="N59" s="1">
        <f t="shared" si="5"/>
        <v>2017</v>
      </c>
    </row>
    <row r="60" ht="15.75" customHeight="1">
      <c r="A60" s="1" t="s">
        <v>14</v>
      </c>
      <c r="B60" s="1">
        <v>7970441.0</v>
      </c>
      <c r="C60" s="1" t="s">
        <v>261</v>
      </c>
      <c r="D60" s="1" t="s">
        <v>282</v>
      </c>
      <c r="E60" s="1" t="s">
        <v>189</v>
      </c>
      <c r="F60" s="1" t="s">
        <v>283</v>
      </c>
      <c r="G60" s="1" t="s">
        <v>19</v>
      </c>
      <c r="H60" s="1" t="s">
        <v>284</v>
      </c>
      <c r="I60" s="1" t="s">
        <v>285</v>
      </c>
      <c r="J60" s="1" t="str">
        <f t="shared" si="1"/>
        <v>Non-Compliant</v>
      </c>
      <c r="K60" s="1" t="str">
        <f t="shared" si="2"/>
        <v>Non-Incentive</v>
      </c>
      <c r="L60" s="1" t="str">
        <f t="shared" si="3"/>
        <v>TUG</v>
      </c>
      <c r="M60" s="1">
        <f t="shared" si="4"/>
        <v>3</v>
      </c>
      <c r="N60" s="1">
        <f t="shared" si="5"/>
        <v>2017</v>
      </c>
    </row>
    <row r="61" ht="15.75" customHeight="1">
      <c r="A61" s="1" t="s">
        <v>14</v>
      </c>
      <c r="B61" s="1">
        <v>7971432.0</v>
      </c>
      <c r="C61" s="1" t="s">
        <v>261</v>
      </c>
      <c r="D61" s="1" t="s">
        <v>286</v>
      </c>
      <c r="E61" s="1" t="s">
        <v>247</v>
      </c>
      <c r="F61" s="1" t="s">
        <v>287</v>
      </c>
      <c r="G61" s="1" t="s">
        <v>19</v>
      </c>
      <c r="H61" s="1" t="s">
        <v>288</v>
      </c>
      <c r="I61" s="1" t="s">
        <v>289</v>
      </c>
      <c r="J61" s="1" t="str">
        <f t="shared" si="1"/>
        <v>Non-Compliant</v>
      </c>
      <c r="K61" s="1" t="str">
        <f t="shared" si="2"/>
        <v>Non-Incentive</v>
      </c>
      <c r="L61" s="1" t="str">
        <f t="shared" si="3"/>
        <v>TUG</v>
      </c>
      <c r="M61" s="1">
        <f t="shared" si="4"/>
        <v>3</v>
      </c>
      <c r="N61" s="1">
        <f t="shared" si="5"/>
        <v>2017</v>
      </c>
    </row>
    <row r="62" ht="15.75" customHeight="1">
      <c r="A62" s="1" t="s">
        <v>14</v>
      </c>
      <c r="B62" s="1">
        <v>7984652.0</v>
      </c>
      <c r="C62" s="1" t="s">
        <v>290</v>
      </c>
      <c r="D62" s="1" t="s">
        <v>291</v>
      </c>
      <c r="E62" s="1" t="s">
        <v>292</v>
      </c>
      <c r="F62" s="1" t="s">
        <v>293</v>
      </c>
      <c r="G62" s="1" t="s">
        <v>19</v>
      </c>
      <c r="H62" s="1" t="s">
        <v>294</v>
      </c>
      <c r="I62" s="1" t="s">
        <v>295</v>
      </c>
      <c r="J62" s="1" t="str">
        <f t="shared" si="1"/>
        <v>Non-Compliant</v>
      </c>
      <c r="K62" s="1" t="str">
        <f t="shared" si="2"/>
        <v>Non-Incentive</v>
      </c>
      <c r="L62" s="1" t="str">
        <f t="shared" si="3"/>
        <v>TUG</v>
      </c>
      <c r="M62" s="1">
        <f t="shared" si="4"/>
        <v>3</v>
      </c>
      <c r="N62" s="1">
        <f t="shared" si="5"/>
        <v>2017</v>
      </c>
    </row>
    <row r="63" ht="15.75" customHeight="1">
      <c r="A63" s="1" t="s">
        <v>14</v>
      </c>
      <c r="B63" s="1">
        <v>8018847.0</v>
      </c>
      <c r="C63" s="1" t="s">
        <v>296</v>
      </c>
      <c r="D63" s="1" t="s">
        <v>297</v>
      </c>
      <c r="E63" s="1" t="s">
        <v>292</v>
      </c>
      <c r="F63" s="1" t="s">
        <v>298</v>
      </c>
      <c r="G63" s="1" t="s">
        <v>19</v>
      </c>
      <c r="H63" s="1" t="s">
        <v>299</v>
      </c>
      <c r="I63" s="1" t="s">
        <v>300</v>
      </c>
      <c r="J63" s="1" t="str">
        <f t="shared" si="1"/>
        <v>Non-Compliant</v>
      </c>
      <c r="K63" s="1" t="str">
        <f t="shared" si="2"/>
        <v>Non-Incentive</v>
      </c>
      <c r="L63" s="1" t="str">
        <f t="shared" si="3"/>
        <v>TUG</v>
      </c>
      <c r="M63" s="1">
        <f t="shared" si="4"/>
        <v>3</v>
      </c>
      <c r="N63" s="1">
        <f t="shared" si="5"/>
        <v>2017</v>
      </c>
    </row>
    <row r="64" ht="15.75" customHeight="1">
      <c r="A64" s="1" t="s">
        <v>14</v>
      </c>
      <c r="B64" s="1">
        <v>8022473.0</v>
      </c>
      <c r="C64" s="1" t="s">
        <v>301</v>
      </c>
      <c r="D64" s="1" t="s">
        <v>302</v>
      </c>
      <c r="E64" s="1" t="s">
        <v>303</v>
      </c>
      <c r="F64" s="1" t="s">
        <v>304</v>
      </c>
      <c r="G64" s="1" t="s">
        <v>19</v>
      </c>
      <c r="H64" s="1" t="s">
        <v>305</v>
      </c>
      <c r="I64" s="1" t="s">
        <v>306</v>
      </c>
      <c r="J64" s="1" t="str">
        <f t="shared" si="1"/>
        <v>Non-Compliant</v>
      </c>
      <c r="K64" s="1" t="str">
        <f t="shared" si="2"/>
        <v>Non-Incentive</v>
      </c>
      <c r="L64" s="1" t="str">
        <f t="shared" si="3"/>
        <v>TUG</v>
      </c>
      <c r="M64" s="1">
        <f t="shared" si="4"/>
        <v>3</v>
      </c>
      <c r="N64" s="1">
        <f t="shared" si="5"/>
        <v>2017</v>
      </c>
    </row>
    <row r="65" ht="15.75" customHeight="1">
      <c r="A65" s="1" t="s">
        <v>14</v>
      </c>
      <c r="B65" s="1">
        <v>8035307.0</v>
      </c>
      <c r="C65" s="1" t="s">
        <v>301</v>
      </c>
      <c r="D65" s="1" t="s">
        <v>307</v>
      </c>
      <c r="E65" s="1" t="s">
        <v>308</v>
      </c>
      <c r="F65" s="1" t="s">
        <v>309</v>
      </c>
      <c r="G65" s="1" t="s">
        <v>19</v>
      </c>
      <c r="H65" s="1" t="s">
        <v>310</v>
      </c>
      <c r="I65" s="1" t="s">
        <v>311</v>
      </c>
      <c r="J65" s="1" t="str">
        <f t="shared" si="1"/>
        <v>Non-Compliant</v>
      </c>
      <c r="K65" s="1" t="str">
        <f t="shared" si="2"/>
        <v>Non-Incentive</v>
      </c>
      <c r="L65" s="1" t="str">
        <f t="shared" si="3"/>
        <v>TUG</v>
      </c>
      <c r="M65" s="1">
        <f t="shared" si="4"/>
        <v>3</v>
      </c>
      <c r="N65" s="1">
        <f t="shared" si="5"/>
        <v>2017</v>
      </c>
    </row>
    <row r="66" ht="15.75" customHeight="1">
      <c r="A66" s="1" t="s">
        <v>14</v>
      </c>
      <c r="B66" s="1">
        <v>8039228.0</v>
      </c>
      <c r="C66" s="1" t="s">
        <v>301</v>
      </c>
      <c r="D66" s="1" t="s">
        <v>312</v>
      </c>
      <c r="E66" s="1" t="s">
        <v>313</v>
      </c>
      <c r="F66" s="1" t="s">
        <v>314</v>
      </c>
      <c r="G66" s="1" t="s">
        <v>19</v>
      </c>
      <c r="H66" s="1" t="s">
        <v>315</v>
      </c>
      <c r="I66" s="1" t="s">
        <v>32</v>
      </c>
      <c r="J66" s="1" t="str">
        <f t="shared" si="1"/>
        <v>Non-Compliant</v>
      </c>
      <c r="K66" s="1" t="str">
        <f t="shared" si="2"/>
        <v>Non-Incentive</v>
      </c>
      <c r="L66" s="1" t="str">
        <f t="shared" si="3"/>
        <v>TUG</v>
      </c>
      <c r="M66" s="1">
        <f t="shared" si="4"/>
        <v>3</v>
      </c>
      <c r="N66" s="1">
        <f t="shared" si="5"/>
        <v>2017</v>
      </c>
    </row>
    <row r="67" ht="15.75" customHeight="1">
      <c r="A67" s="1" t="s">
        <v>14</v>
      </c>
      <c r="B67" s="1">
        <v>8055596.0</v>
      </c>
      <c r="C67" s="1" t="s">
        <v>316</v>
      </c>
      <c r="D67" s="1" t="s">
        <v>317</v>
      </c>
      <c r="E67" s="1" t="s">
        <v>318</v>
      </c>
      <c r="F67" s="1" t="s">
        <v>319</v>
      </c>
      <c r="G67" s="1" t="s">
        <v>19</v>
      </c>
      <c r="H67" s="1" t="s">
        <v>320</v>
      </c>
      <c r="I67" s="1" t="s">
        <v>321</v>
      </c>
      <c r="J67" s="1" t="str">
        <f t="shared" si="1"/>
        <v>Non-Compliant</v>
      </c>
      <c r="K67" s="1" t="str">
        <f t="shared" si="2"/>
        <v>Non-Incentive</v>
      </c>
      <c r="L67" s="1" t="str">
        <f t="shared" si="3"/>
        <v>TUG</v>
      </c>
      <c r="M67" s="1">
        <f t="shared" si="4"/>
        <v>3</v>
      </c>
      <c r="N67" s="1">
        <f t="shared" si="5"/>
        <v>2017</v>
      </c>
    </row>
    <row r="68" ht="15.75" customHeight="1">
      <c r="A68" s="1" t="s">
        <v>14</v>
      </c>
      <c r="B68" s="1">
        <v>8061134.0</v>
      </c>
      <c r="C68" s="1" t="s">
        <v>316</v>
      </c>
      <c r="D68" s="1" t="s">
        <v>322</v>
      </c>
      <c r="E68" s="1" t="s">
        <v>323</v>
      </c>
      <c r="F68" s="1" t="s">
        <v>324</v>
      </c>
      <c r="G68" s="1" t="s">
        <v>19</v>
      </c>
      <c r="H68" s="1" t="s">
        <v>325</v>
      </c>
      <c r="I68" s="1" t="s">
        <v>326</v>
      </c>
      <c r="J68" s="1" t="str">
        <f t="shared" si="1"/>
        <v>Non-Compliant</v>
      </c>
      <c r="K68" s="1" t="str">
        <f t="shared" si="2"/>
        <v>Non-Incentive</v>
      </c>
      <c r="L68" s="1" t="str">
        <f t="shared" si="3"/>
        <v>TUG</v>
      </c>
      <c r="M68" s="1">
        <f t="shared" si="4"/>
        <v>3</v>
      </c>
      <c r="N68" s="1">
        <f t="shared" si="5"/>
        <v>2017</v>
      </c>
    </row>
    <row r="69" ht="15.75" customHeight="1">
      <c r="A69" s="1" t="s">
        <v>14</v>
      </c>
      <c r="B69" s="1">
        <v>8065467.0</v>
      </c>
      <c r="C69" s="1" t="s">
        <v>316</v>
      </c>
      <c r="D69" s="1" t="s">
        <v>327</v>
      </c>
      <c r="E69" s="1" t="s">
        <v>267</v>
      </c>
      <c r="F69" s="1" t="s">
        <v>328</v>
      </c>
      <c r="G69" s="1" t="s">
        <v>111</v>
      </c>
      <c r="H69" s="1" t="s">
        <v>329</v>
      </c>
      <c r="I69" s="1" t="s">
        <v>218</v>
      </c>
      <c r="J69" s="1" t="str">
        <f t="shared" si="1"/>
        <v>Non-Compliant</v>
      </c>
      <c r="K69" s="1" t="str">
        <f t="shared" si="2"/>
        <v>Non-Incentive</v>
      </c>
      <c r="L69" s="1" t="str">
        <f t="shared" si="3"/>
        <v>TUG</v>
      </c>
      <c r="M69" s="1">
        <f t="shared" si="4"/>
        <v>3</v>
      </c>
      <c r="N69" s="1">
        <f t="shared" si="5"/>
        <v>2017</v>
      </c>
    </row>
    <row r="70" ht="15.75" customHeight="1">
      <c r="A70" s="1" t="s">
        <v>14</v>
      </c>
      <c r="B70" s="1">
        <v>8065602.0</v>
      </c>
      <c r="C70" s="1" t="s">
        <v>316</v>
      </c>
      <c r="D70" s="1" t="s">
        <v>330</v>
      </c>
      <c r="E70" s="1" t="s">
        <v>331</v>
      </c>
      <c r="F70" s="1" t="s">
        <v>332</v>
      </c>
      <c r="G70" s="1" t="s">
        <v>37</v>
      </c>
      <c r="H70" s="1" t="s">
        <v>333</v>
      </c>
      <c r="I70" s="1" t="s">
        <v>334</v>
      </c>
      <c r="J70" s="1" t="str">
        <f t="shared" si="1"/>
        <v>Non-Compliant</v>
      </c>
      <c r="K70" s="1" t="str">
        <f t="shared" si="2"/>
        <v>Non-Incentive</v>
      </c>
      <c r="L70" s="1" t="str">
        <f t="shared" si="3"/>
        <v>TUG</v>
      </c>
      <c r="M70" s="1">
        <f t="shared" si="4"/>
        <v>3</v>
      </c>
      <c r="N70" s="1">
        <f t="shared" si="5"/>
        <v>2017</v>
      </c>
    </row>
    <row r="71" ht="15.75" customHeight="1">
      <c r="A71" s="1" t="s">
        <v>14</v>
      </c>
      <c r="B71" s="1">
        <v>8067051.0</v>
      </c>
      <c r="C71" s="1" t="s">
        <v>316</v>
      </c>
      <c r="D71" s="1" t="s">
        <v>335</v>
      </c>
      <c r="E71" s="1" t="s">
        <v>336</v>
      </c>
      <c r="F71" s="1" t="s">
        <v>337</v>
      </c>
      <c r="G71" s="1" t="s">
        <v>19</v>
      </c>
      <c r="H71" s="1" t="s">
        <v>338</v>
      </c>
      <c r="I71" s="1" t="s">
        <v>339</v>
      </c>
      <c r="J71" s="1" t="str">
        <f t="shared" si="1"/>
        <v>Non-Compliant</v>
      </c>
      <c r="K71" s="1" t="str">
        <f t="shared" si="2"/>
        <v>Non-Incentive</v>
      </c>
      <c r="L71" s="1" t="str">
        <f t="shared" si="3"/>
        <v>TUG</v>
      </c>
      <c r="M71" s="1">
        <f t="shared" si="4"/>
        <v>3</v>
      </c>
      <c r="N71" s="1">
        <f t="shared" si="5"/>
        <v>2017</v>
      </c>
    </row>
    <row r="72" ht="15.75" customHeight="1">
      <c r="A72" s="1" t="s">
        <v>14</v>
      </c>
      <c r="B72" s="1">
        <v>8086454.0</v>
      </c>
      <c r="C72" s="1" t="s">
        <v>340</v>
      </c>
      <c r="D72" s="1" t="s">
        <v>341</v>
      </c>
      <c r="E72" s="1" t="s">
        <v>342</v>
      </c>
      <c r="F72" s="1" t="s">
        <v>343</v>
      </c>
      <c r="G72" s="1" t="s">
        <v>37</v>
      </c>
      <c r="H72" s="1" t="s">
        <v>344</v>
      </c>
      <c r="I72" s="1" t="s">
        <v>345</v>
      </c>
      <c r="J72" s="1" t="str">
        <f t="shared" si="1"/>
        <v>Non-Compliant</v>
      </c>
      <c r="K72" s="1" t="str">
        <f t="shared" si="2"/>
        <v>Non-Incentive</v>
      </c>
      <c r="L72" s="1" t="str">
        <f t="shared" si="3"/>
        <v>TUG</v>
      </c>
      <c r="M72" s="1">
        <f t="shared" si="4"/>
        <v>3</v>
      </c>
      <c r="N72" s="1">
        <f t="shared" si="5"/>
        <v>2017</v>
      </c>
    </row>
    <row r="73" ht="15.75" customHeight="1">
      <c r="A73" s="1" t="s">
        <v>14</v>
      </c>
      <c r="B73" s="1">
        <v>8090388.0</v>
      </c>
      <c r="C73" s="1" t="s">
        <v>340</v>
      </c>
      <c r="D73" s="1" t="s">
        <v>346</v>
      </c>
      <c r="E73" s="1" t="s">
        <v>267</v>
      </c>
      <c r="F73" s="1" t="s">
        <v>347</v>
      </c>
      <c r="G73" s="1" t="s">
        <v>19</v>
      </c>
      <c r="H73" s="1" t="s">
        <v>348</v>
      </c>
      <c r="I73" s="1" t="s">
        <v>281</v>
      </c>
      <c r="J73" s="1" t="str">
        <f t="shared" si="1"/>
        <v>Non-Compliant</v>
      </c>
      <c r="K73" s="1" t="str">
        <f t="shared" si="2"/>
        <v>Non-Incentive</v>
      </c>
      <c r="L73" s="1" t="str">
        <f t="shared" si="3"/>
        <v>TUG</v>
      </c>
      <c r="M73" s="1">
        <f t="shared" si="4"/>
        <v>3</v>
      </c>
      <c r="N73" s="1">
        <f t="shared" si="5"/>
        <v>2017</v>
      </c>
    </row>
    <row r="74" ht="15.75" customHeight="1">
      <c r="A74" s="1" t="s">
        <v>14</v>
      </c>
      <c r="B74" s="1">
        <v>8091385.0</v>
      </c>
      <c r="C74" s="1" t="s">
        <v>340</v>
      </c>
      <c r="D74" s="1" t="s">
        <v>349</v>
      </c>
      <c r="E74" s="1" t="s">
        <v>313</v>
      </c>
      <c r="F74" s="1" t="s">
        <v>350</v>
      </c>
      <c r="G74" s="1" t="s">
        <v>19</v>
      </c>
      <c r="H74" s="1" t="s">
        <v>351</v>
      </c>
      <c r="I74" s="1" t="s">
        <v>250</v>
      </c>
      <c r="J74" s="1" t="str">
        <f t="shared" si="1"/>
        <v>Non-Compliant</v>
      </c>
      <c r="K74" s="1" t="str">
        <f t="shared" si="2"/>
        <v>Non-Incentive</v>
      </c>
      <c r="L74" s="1" t="str">
        <f t="shared" si="3"/>
        <v>TUG</v>
      </c>
      <c r="M74" s="1">
        <f t="shared" si="4"/>
        <v>3</v>
      </c>
      <c r="N74" s="1">
        <f t="shared" si="5"/>
        <v>2017</v>
      </c>
    </row>
    <row r="75" ht="15.75" customHeight="1">
      <c r="A75" s="1" t="s">
        <v>14</v>
      </c>
      <c r="B75" s="1">
        <v>8102896.0</v>
      </c>
      <c r="C75" s="1" t="s">
        <v>352</v>
      </c>
      <c r="D75" s="1" t="s">
        <v>353</v>
      </c>
      <c r="E75" s="1" t="s">
        <v>267</v>
      </c>
      <c r="F75" s="1" t="s">
        <v>354</v>
      </c>
      <c r="G75" s="1" t="s">
        <v>19</v>
      </c>
      <c r="H75" s="1" t="s">
        <v>355</v>
      </c>
      <c r="I75" s="1" t="s">
        <v>218</v>
      </c>
      <c r="J75" s="1" t="str">
        <f t="shared" si="1"/>
        <v>Non-Compliant</v>
      </c>
      <c r="K75" s="1" t="str">
        <f t="shared" si="2"/>
        <v>Non-Incentive</v>
      </c>
      <c r="L75" s="1" t="str">
        <f t="shared" si="3"/>
        <v>TUG</v>
      </c>
      <c r="M75" s="1">
        <f t="shared" si="4"/>
        <v>3</v>
      </c>
      <c r="N75" s="1">
        <f t="shared" si="5"/>
        <v>2017</v>
      </c>
    </row>
    <row r="76" ht="15.75" customHeight="1">
      <c r="A76" s="1" t="s">
        <v>14</v>
      </c>
      <c r="B76" s="1">
        <v>8122393.0</v>
      </c>
      <c r="C76" s="1" t="s">
        <v>356</v>
      </c>
      <c r="D76" s="1" t="s">
        <v>357</v>
      </c>
      <c r="E76" s="1" t="s">
        <v>358</v>
      </c>
      <c r="F76" s="1" t="s">
        <v>359</v>
      </c>
      <c r="G76" s="1" t="s">
        <v>19</v>
      </c>
      <c r="H76" s="1" t="s">
        <v>360</v>
      </c>
      <c r="I76" s="1" t="s">
        <v>361</v>
      </c>
      <c r="J76" s="1" t="str">
        <f t="shared" si="1"/>
        <v>Non-Compliant</v>
      </c>
      <c r="K76" s="1" t="str">
        <f t="shared" si="2"/>
        <v>Non-Incentive</v>
      </c>
      <c r="L76" s="1" t="str">
        <f t="shared" si="3"/>
        <v>TUG</v>
      </c>
      <c r="M76" s="1">
        <f t="shared" si="4"/>
        <v>3</v>
      </c>
      <c r="N76" s="1">
        <f t="shared" si="5"/>
        <v>2017</v>
      </c>
    </row>
    <row r="77" ht="15.75" customHeight="1">
      <c r="A77" s="1" t="s">
        <v>14</v>
      </c>
      <c r="B77" s="1">
        <v>8128641.0</v>
      </c>
      <c r="C77" s="1" t="s">
        <v>362</v>
      </c>
      <c r="D77" s="1" t="s">
        <v>363</v>
      </c>
      <c r="E77" s="1" t="s">
        <v>364</v>
      </c>
      <c r="F77" s="1" t="s">
        <v>365</v>
      </c>
      <c r="G77" s="1" t="s">
        <v>19</v>
      </c>
      <c r="H77" s="1" t="s">
        <v>366</v>
      </c>
      <c r="I77" s="1" t="s">
        <v>32</v>
      </c>
      <c r="J77" s="1" t="str">
        <f t="shared" si="1"/>
        <v>Non-Compliant</v>
      </c>
      <c r="K77" s="1" t="str">
        <f t="shared" si="2"/>
        <v>Non-Incentive</v>
      </c>
      <c r="L77" s="1" t="str">
        <f t="shared" si="3"/>
        <v>TUG</v>
      </c>
      <c r="M77" s="1">
        <f t="shared" si="4"/>
        <v>3</v>
      </c>
      <c r="N77" s="1">
        <f t="shared" si="5"/>
        <v>2017</v>
      </c>
    </row>
    <row r="78" ht="15.75" customHeight="1">
      <c r="A78" s="1" t="s">
        <v>14</v>
      </c>
      <c r="B78" s="1">
        <v>8140525.0</v>
      </c>
      <c r="C78" s="1" t="s">
        <v>362</v>
      </c>
      <c r="D78" s="1" t="s">
        <v>367</v>
      </c>
      <c r="E78" s="1" t="s">
        <v>267</v>
      </c>
      <c r="F78" s="1" t="s">
        <v>368</v>
      </c>
      <c r="G78" s="1" t="s">
        <v>19</v>
      </c>
      <c r="H78" s="1" t="s">
        <v>369</v>
      </c>
      <c r="I78" s="1" t="s">
        <v>370</v>
      </c>
      <c r="J78" s="1" t="str">
        <f t="shared" si="1"/>
        <v>Non-Compliant</v>
      </c>
      <c r="K78" s="1" t="str">
        <f t="shared" si="2"/>
        <v>Non-Incentive</v>
      </c>
      <c r="L78" s="1" t="str">
        <f t="shared" si="3"/>
        <v>TUG</v>
      </c>
      <c r="M78" s="1">
        <f t="shared" si="4"/>
        <v>3</v>
      </c>
      <c r="N78" s="1">
        <f t="shared" si="5"/>
        <v>2017</v>
      </c>
    </row>
    <row r="79" ht="15.75" customHeight="1">
      <c r="A79" s="1" t="s">
        <v>14</v>
      </c>
      <c r="B79" s="1">
        <v>8140947.0</v>
      </c>
      <c r="C79" s="1" t="s">
        <v>362</v>
      </c>
      <c r="D79" s="1" t="s">
        <v>371</v>
      </c>
      <c r="E79" s="1" t="s">
        <v>267</v>
      </c>
      <c r="F79" s="1" t="s">
        <v>372</v>
      </c>
      <c r="G79" s="1" t="s">
        <v>19</v>
      </c>
      <c r="H79" s="1" t="s">
        <v>373</v>
      </c>
      <c r="I79" s="1" t="s">
        <v>32</v>
      </c>
      <c r="J79" s="1" t="str">
        <f t="shared" si="1"/>
        <v>Non-Compliant</v>
      </c>
      <c r="K79" s="1" t="str">
        <f t="shared" si="2"/>
        <v>Non-Incentive</v>
      </c>
      <c r="L79" s="1" t="str">
        <f t="shared" si="3"/>
        <v>TUG</v>
      </c>
      <c r="M79" s="1">
        <f t="shared" si="4"/>
        <v>3</v>
      </c>
      <c r="N79" s="1">
        <f t="shared" si="5"/>
        <v>2017</v>
      </c>
    </row>
    <row r="80" ht="15.75" customHeight="1">
      <c r="A80" s="1" t="s">
        <v>14</v>
      </c>
      <c r="B80" s="1">
        <v>8144422.0</v>
      </c>
      <c r="C80" s="1" t="s">
        <v>362</v>
      </c>
      <c r="D80" s="1" t="s">
        <v>374</v>
      </c>
      <c r="E80" s="1" t="s">
        <v>375</v>
      </c>
      <c r="F80" s="1" t="s">
        <v>376</v>
      </c>
      <c r="G80" s="1" t="s">
        <v>37</v>
      </c>
      <c r="H80" s="1" t="s">
        <v>377</v>
      </c>
      <c r="I80" s="1" t="s">
        <v>378</v>
      </c>
      <c r="J80" s="1" t="str">
        <f t="shared" si="1"/>
        <v>Non-Compliant</v>
      </c>
      <c r="K80" s="1" t="str">
        <f t="shared" si="2"/>
        <v>Non-Incentive</v>
      </c>
      <c r="L80" s="1" t="str">
        <f t="shared" si="3"/>
        <v>TUG</v>
      </c>
      <c r="M80" s="1">
        <f t="shared" si="4"/>
        <v>3</v>
      </c>
      <c r="N80" s="1">
        <f t="shared" si="5"/>
        <v>2017</v>
      </c>
    </row>
    <row r="81" ht="15.75" customHeight="1">
      <c r="A81" s="1" t="s">
        <v>14</v>
      </c>
      <c r="B81" s="1">
        <v>8146066.0</v>
      </c>
      <c r="C81" s="1" t="s">
        <v>362</v>
      </c>
      <c r="D81" s="1" t="s">
        <v>379</v>
      </c>
      <c r="E81" s="1" t="s">
        <v>380</v>
      </c>
      <c r="F81" s="1" t="s">
        <v>381</v>
      </c>
      <c r="G81" s="1" t="s">
        <v>19</v>
      </c>
      <c r="H81" s="1" t="s">
        <v>382</v>
      </c>
      <c r="I81" s="1" t="s">
        <v>383</v>
      </c>
      <c r="J81" s="1" t="str">
        <f t="shared" si="1"/>
        <v>Non-Compliant</v>
      </c>
      <c r="K81" s="1" t="str">
        <f t="shared" si="2"/>
        <v>Non-Incentive</v>
      </c>
      <c r="L81" s="1" t="str">
        <f t="shared" si="3"/>
        <v>TUG</v>
      </c>
      <c r="M81" s="1">
        <f t="shared" si="4"/>
        <v>3</v>
      </c>
      <c r="N81" s="1">
        <f t="shared" si="5"/>
        <v>2017</v>
      </c>
    </row>
    <row r="82" ht="15.75" customHeight="1">
      <c r="A82" s="1" t="s">
        <v>14</v>
      </c>
      <c r="B82" s="1">
        <v>8146068.0</v>
      </c>
      <c r="C82" s="1" t="s">
        <v>362</v>
      </c>
      <c r="D82" s="1" t="s">
        <v>384</v>
      </c>
      <c r="E82" s="1" t="s">
        <v>267</v>
      </c>
      <c r="F82" s="1" t="s">
        <v>381</v>
      </c>
      <c r="G82" s="1" t="s">
        <v>19</v>
      </c>
      <c r="H82" s="1" t="s">
        <v>385</v>
      </c>
      <c r="I82" s="1" t="s">
        <v>383</v>
      </c>
      <c r="J82" s="1" t="str">
        <f t="shared" si="1"/>
        <v>Non-Compliant</v>
      </c>
      <c r="K82" s="1" t="str">
        <f t="shared" si="2"/>
        <v>Non-Incentive</v>
      </c>
      <c r="L82" s="1" t="str">
        <f t="shared" si="3"/>
        <v>TUG</v>
      </c>
      <c r="M82" s="1">
        <f t="shared" si="4"/>
        <v>3</v>
      </c>
      <c r="N82" s="1">
        <f t="shared" si="5"/>
        <v>2017</v>
      </c>
    </row>
    <row r="83" ht="15.75" customHeight="1">
      <c r="A83" s="1" t="s">
        <v>14</v>
      </c>
      <c r="B83" s="1">
        <v>8159434.0</v>
      </c>
      <c r="C83" s="1" t="s">
        <v>386</v>
      </c>
      <c r="D83" s="1" t="s">
        <v>387</v>
      </c>
      <c r="E83" s="1" t="s">
        <v>388</v>
      </c>
      <c r="F83" s="1" t="s">
        <v>389</v>
      </c>
      <c r="G83" s="1" t="s">
        <v>19</v>
      </c>
      <c r="H83" s="1" t="s">
        <v>390</v>
      </c>
      <c r="I83" s="1" t="s">
        <v>391</v>
      </c>
      <c r="J83" s="1" t="str">
        <f t="shared" si="1"/>
        <v>Non-Compliant</v>
      </c>
      <c r="K83" s="1" t="str">
        <f t="shared" si="2"/>
        <v>Non-Incentive</v>
      </c>
      <c r="L83" s="1" t="str">
        <f t="shared" si="3"/>
        <v>TUG</v>
      </c>
      <c r="M83" s="1">
        <f t="shared" si="4"/>
        <v>3</v>
      </c>
      <c r="N83" s="1">
        <f t="shared" si="5"/>
        <v>2017</v>
      </c>
    </row>
    <row r="84" ht="15.75" customHeight="1">
      <c r="A84" s="1" t="s">
        <v>14</v>
      </c>
      <c r="B84" s="1">
        <v>8160683.0</v>
      </c>
      <c r="C84" s="1" t="s">
        <v>386</v>
      </c>
      <c r="D84" s="1" t="s">
        <v>392</v>
      </c>
      <c r="E84" s="1" t="s">
        <v>388</v>
      </c>
      <c r="F84" s="1" t="s">
        <v>389</v>
      </c>
      <c r="G84" s="1" t="s">
        <v>19</v>
      </c>
      <c r="H84" s="1" t="s">
        <v>393</v>
      </c>
      <c r="I84" s="1" t="s">
        <v>391</v>
      </c>
      <c r="J84" s="1" t="str">
        <f t="shared" si="1"/>
        <v>Non-Compliant</v>
      </c>
      <c r="K84" s="1" t="str">
        <f t="shared" si="2"/>
        <v>Non-Incentive</v>
      </c>
      <c r="L84" s="1" t="str">
        <f t="shared" si="3"/>
        <v>TUG</v>
      </c>
      <c r="M84" s="1">
        <f t="shared" si="4"/>
        <v>3</v>
      </c>
      <c r="N84" s="1">
        <f t="shared" si="5"/>
        <v>2017</v>
      </c>
    </row>
    <row r="85" ht="15.75" customHeight="1">
      <c r="A85" s="1" t="s">
        <v>14</v>
      </c>
      <c r="B85" s="1">
        <v>8169500.0</v>
      </c>
      <c r="C85" s="1" t="s">
        <v>386</v>
      </c>
      <c r="D85" s="1" t="s">
        <v>394</v>
      </c>
      <c r="E85" s="1" t="s">
        <v>395</v>
      </c>
      <c r="F85" s="1" t="s">
        <v>396</v>
      </c>
      <c r="G85" s="1" t="s">
        <v>37</v>
      </c>
      <c r="H85" s="1" t="s">
        <v>397</v>
      </c>
      <c r="I85" s="1" t="s">
        <v>398</v>
      </c>
      <c r="J85" s="1" t="str">
        <f t="shared" si="1"/>
        <v>Non-Compliant</v>
      </c>
      <c r="K85" s="1" t="str">
        <f t="shared" si="2"/>
        <v>Non-Incentive</v>
      </c>
      <c r="L85" s="1" t="str">
        <f t="shared" si="3"/>
        <v>TUG</v>
      </c>
      <c r="M85" s="1">
        <f t="shared" si="4"/>
        <v>3</v>
      </c>
      <c r="N85" s="1">
        <f t="shared" si="5"/>
        <v>2017</v>
      </c>
    </row>
    <row r="86" ht="15.75" customHeight="1">
      <c r="A86" s="1" t="s">
        <v>14</v>
      </c>
      <c r="B86" s="1">
        <v>8170873.0</v>
      </c>
      <c r="C86" s="1" t="s">
        <v>386</v>
      </c>
      <c r="D86" s="1" t="s">
        <v>399</v>
      </c>
      <c r="E86" s="1" t="s">
        <v>400</v>
      </c>
      <c r="F86" s="1" t="s">
        <v>401</v>
      </c>
      <c r="G86" s="1" t="s">
        <v>19</v>
      </c>
      <c r="H86" s="1" t="s">
        <v>402</v>
      </c>
      <c r="I86" s="1" t="s">
        <v>378</v>
      </c>
      <c r="J86" s="1" t="str">
        <f t="shared" si="1"/>
        <v>Non-Compliant</v>
      </c>
      <c r="K86" s="1" t="str">
        <f t="shared" si="2"/>
        <v>Non-Incentive</v>
      </c>
      <c r="L86" s="1" t="str">
        <f t="shared" si="3"/>
        <v>TUG</v>
      </c>
      <c r="M86" s="1">
        <f t="shared" si="4"/>
        <v>3</v>
      </c>
      <c r="N86" s="1">
        <f t="shared" si="5"/>
        <v>2017</v>
      </c>
    </row>
    <row r="87" ht="15.75" customHeight="1">
      <c r="A87" s="1" t="s">
        <v>14</v>
      </c>
      <c r="B87" s="1">
        <v>8173971.0</v>
      </c>
      <c r="C87" s="1" t="s">
        <v>386</v>
      </c>
      <c r="D87" s="1" t="s">
        <v>403</v>
      </c>
      <c r="E87" s="1" t="s">
        <v>323</v>
      </c>
      <c r="F87" s="1" t="s">
        <v>404</v>
      </c>
      <c r="G87" s="1" t="s">
        <v>19</v>
      </c>
      <c r="H87" s="1" t="s">
        <v>405</v>
      </c>
      <c r="I87" s="1" t="s">
        <v>406</v>
      </c>
      <c r="J87" s="1" t="str">
        <f t="shared" si="1"/>
        <v>Non-Compliant</v>
      </c>
      <c r="K87" s="1" t="str">
        <f t="shared" si="2"/>
        <v>Non-Incentive</v>
      </c>
      <c r="L87" s="1" t="str">
        <f t="shared" si="3"/>
        <v>TUG</v>
      </c>
      <c r="M87" s="1">
        <f t="shared" si="4"/>
        <v>3</v>
      </c>
      <c r="N87" s="1">
        <f t="shared" si="5"/>
        <v>2017</v>
      </c>
    </row>
    <row r="88" ht="15.75" customHeight="1">
      <c r="A88" s="1" t="s">
        <v>14</v>
      </c>
      <c r="B88" s="1">
        <v>8180485.0</v>
      </c>
      <c r="C88" s="1" t="s">
        <v>407</v>
      </c>
      <c r="D88" s="1" t="s">
        <v>408</v>
      </c>
      <c r="E88" s="1" t="s">
        <v>375</v>
      </c>
      <c r="F88" s="1" t="s">
        <v>409</v>
      </c>
      <c r="G88" s="1" t="s">
        <v>37</v>
      </c>
      <c r="H88" s="1" t="s">
        <v>410</v>
      </c>
      <c r="I88" s="1" t="s">
        <v>32</v>
      </c>
      <c r="J88" s="1" t="str">
        <f t="shared" si="1"/>
        <v>Non-Compliant</v>
      </c>
      <c r="K88" s="1" t="str">
        <f t="shared" si="2"/>
        <v>Non-Incentive</v>
      </c>
      <c r="L88" s="1" t="str">
        <f t="shared" si="3"/>
        <v>TUG</v>
      </c>
      <c r="M88" s="1">
        <f t="shared" si="4"/>
        <v>3</v>
      </c>
      <c r="N88" s="1">
        <f t="shared" si="5"/>
        <v>2017</v>
      </c>
    </row>
    <row r="89" ht="15.75" customHeight="1">
      <c r="A89" s="1" t="s">
        <v>14</v>
      </c>
      <c r="B89" s="1">
        <v>8190870.0</v>
      </c>
      <c r="C89" s="1" t="s">
        <v>407</v>
      </c>
      <c r="D89" s="1" t="s">
        <v>411</v>
      </c>
      <c r="E89" s="1" t="s">
        <v>412</v>
      </c>
      <c r="F89" s="1" t="s">
        <v>413</v>
      </c>
      <c r="G89" s="1" t="s">
        <v>19</v>
      </c>
      <c r="H89" s="1" t="s">
        <v>414</v>
      </c>
      <c r="I89" s="1" t="s">
        <v>32</v>
      </c>
      <c r="J89" s="1" t="str">
        <f t="shared" si="1"/>
        <v>Non-Compliant</v>
      </c>
      <c r="K89" s="1" t="str">
        <f t="shared" si="2"/>
        <v>Non-Incentive</v>
      </c>
      <c r="L89" s="1" t="str">
        <f t="shared" si="3"/>
        <v>TUG</v>
      </c>
      <c r="M89" s="1">
        <f t="shared" si="4"/>
        <v>3</v>
      </c>
      <c r="N89" s="1">
        <f t="shared" si="5"/>
        <v>2017</v>
      </c>
    </row>
    <row r="90" ht="15.75" customHeight="1">
      <c r="A90" s="1" t="s">
        <v>14</v>
      </c>
      <c r="B90" s="1">
        <v>8201692.0</v>
      </c>
      <c r="C90" s="1" t="s">
        <v>415</v>
      </c>
      <c r="D90" s="1" t="s">
        <v>416</v>
      </c>
      <c r="E90" s="1" t="s">
        <v>380</v>
      </c>
      <c r="F90" s="1" t="s">
        <v>417</v>
      </c>
      <c r="G90" s="1" t="s">
        <v>19</v>
      </c>
      <c r="H90" s="1" t="s">
        <v>418</v>
      </c>
      <c r="I90" s="1" t="s">
        <v>419</v>
      </c>
      <c r="J90" s="1" t="str">
        <f t="shared" si="1"/>
        <v>Non-Compliant</v>
      </c>
      <c r="K90" s="1" t="str">
        <f t="shared" si="2"/>
        <v>Non-Incentive</v>
      </c>
      <c r="L90" s="1" t="str">
        <f t="shared" si="3"/>
        <v>TUG</v>
      </c>
      <c r="M90" s="1">
        <f t="shared" si="4"/>
        <v>3</v>
      </c>
      <c r="N90" s="1">
        <f t="shared" si="5"/>
        <v>2017</v>
      </c>
    </row>
    <row r="91" ht="15.75" customHeight="1">
      <c r="A91" s="1" t="s">
        <v>14</v>
      </c>
      <c r="B91" s="1">
        <v>8204016.0</v>
      </c>
      <c r="C91" s="1" t="s">
        <v>415</v>
      </c>
      <c r="D91" s="1" t="s">
        <v>420</v>
      </c>
      <c r="E91" s="1" t="s">
        <v>412</v>
      </c>
      <c r="F91" s="1" t="s">
        <v>421</v>
      </c>
      <c r="G91" s="1" t="s">
        <v>19</v>
      </c>
      <c r="H91" s="1" t="s">
        <v>422</v>
      </c>
      <c r="I91" s="1" t="s">
        <v>32</v>
      </c>
      <c r="J91" s="1" t="str">
        <f t="shared" si="1"/>
        <v>Non-Compliant</v>
      </c>
      <c r="K91" s="1" t="str">
        <f t="shared" si="2"/>
        <v>Non-Incentive</v>
      </c>
      <c r="L91" s="1" t="str">
        <f t="shared" si="3"/>
        <v>TUG</v>
      </c>
      <c r="M91" s="1">
        <f t="shared" si="4"/>
        <v>3</v>
      </c>
      <c r="N91" s="1">
        <f t="shared" si="5"/>
        <v>2017</v>
      </c>
    </row>
    <row r="92" ht="15.75" customHeight="1">
      <c r="A92" s="1" t="s">
        <v>14</v>
      </c>
      <c r="B92" s="1">
        <v>8216051.0</v>
      </c>
      <c r="C92" s="1" t="s">
        <v>415</v>
      </c>
      <c r="D92" s="1" t="s">
        <v>423</v>
      </c>
      <c r="E92" s="1" t="s">
        <v>424</v>
      </c>
      <c r="F92" s="1" t="s">
        <v>425</v>
      </c>
      <c r="G92" s="1" t="s">
        <v>19</v>
      </c>
      <c r="H92" s="1" t="s">
        <v>426</v>
      </c>
      <c r="I92" s="1" t="s">
        <v>427</v>
      </c>
      <c r="J92" s="1" t="str">
        <f t="shared" si="1"/>
        <v>Non-Compliant</v>
      </c>
      <c r="K92" s="1" t="str">
        <f t="shared" si="2"/>
        <v>Non-Incentive</v>
      </c>
      <c r="L92" s="1" t="str">
        <f t="shared" si="3"/>
        <v>TUG</v>
      </c>
      <c r="M92" s="1">
        <f t="shared" si="4"/>
        <v>3</v>
      </c>
      <c r="N92" s="1">
        <f t="shared" si="5"/>
        <v>2017</v>
      </c>
    </row>
    <row r="93" ht="15.75" customHeight="1">
      <c r="A93" s="1" t="s">
        <v>14</v>
      </c>
      <c r="B93" s="1">
        <v>8216744.0</v>
      </c>
      <c r="C93" s="1" t="s">
        <v>415</v>
      </c>
      <c r="D93" s="1" t="s">
        <v>428</v>
      </c>
      <c r="E93" s="1" t="s">
        <v>400</v>
      </c>
      <c r="F93" s="1" t="s">
        <v>429</v>
      </c>
      <c r="G93" s="1" t="s">
        <v>19</v>
      </c>
      <c r="H93" s="1" t="s">
        <v>430</v>
      </c>
      <c r="I93" s="1" t="s">
        <v>431</v>
      </c>
      <c r="J93" s="1" t="str">
        <f t="shared" si="1"/>
        <v>Non-Compliant</v>
      </c>
      <c r="K93" s="1" t="str">
        <f t="shared" si="2"/>
        <v>Non-Incentive</v>
      </c>
      <c r="L93" s="1" t="str">
        <f t="shared" si="3"/>
        <v>TUG</v>
      </c>
      <c r="M93" s="1">
        <f t="shared" si="4"/>
        <v>3</v>
      </c>
      <c r="N93" s="1">
        <f t="shared" si="5"/>
        <v>2017</v>
      </c>
    </row>
    <row r="94" ht="15.75" customHeight="1">
      <c r="A94" s="1" t="s">
        <v>14</v>
      </c>
      <c r="B94" s="1">
        <v>8220992.0</v>
      </c>
      <c r="C94" s="1" t="s">
        <v>415</v>
      </c>
      <c r="D94" s="1" t="s">
        <v>432</v>
      </c>
      <c r="E94" s="1" t="s">
        <v>433</v>
      </c>
      <c r="F94" s="1" t="s">
        <v>434</v>
      </c>
      <c r="G94" s="1" t="s">
        <v>19</v>
      </c>
      <c r="H94" s="1" t="s">
        <v>435</v>
      </c>
      <c r="I94" s="1" t="s">
        <v>436</v>
      </c>
      <c r="J94" s="1" t="str">
        <f t="shared" si="1"/>
        <v>Non-Compliant</v>
      </c>
      <c r="K94" s="1" t="str">
        <f t="shared" si="2"/>
        <v>Non-Incentive</v>
      </c>
      <c r="L94" s="1" t="str">
        <f t="shared" si="3"/>
        <v>TUG</v>
      </c>
      <c r="M94" s="1">
        <f t="shared" si="4"/>
        <v>3</v>
      </c>
      <c r="N94" s="1">
        <f t="shared" si="5"/>
        <v>2017</v>
      </c>
    </row>
    <row r="95" ht="15.75" customHeight="1">
      <c r="A95" s="1" t="s">
        <v>14</v>
      </c>
      <c r="B95" s="1">
        <v>8222240.0</v>
      </c>
      <c r="C95" s="1" t="s">
        <v>415</v>
      </c>
      <c r="D95" s="1" t="s">
        <v>437</v>
      </c>
      <c r="E95" s="1" t="s">
        <v>438</v>
      </c>
      <c r="F95" s="1" t="s">
        <v>439</v>
      </c>
      <c r="G95" s="1" t="s">
        <v>37</v>
      </c>
      <c r="H95" s="1" t="s">
        <v>440</v>
      </c>
      <c r="I95" s="1" t="s">
        <v>441</v>
      </c>
      <c r="J95" s="1" t="str">
        <f t="shared" si="1"/>
        <v>Non-Compliant</v>
      </c>
      <c r="K95" s="1" t="str">
        <f t="shared" si="2"/>
        <v>Non-Incentive</v>
      </c>
      <c r="L95" s="1" t="str">
        <f t="shared" si="3"/>
        <v>TUG</v>
      </c>
      <c r="M95" s="1">
        <f t="shared" si="4"/>
        <v>3</v>
      </c>
      <c r="N95" s="1">
        <f t="shared" si="5"/>
        <v>2017</v>
      </c>
    </row>
    <row r="96" ht="15.75" customHeight="1">
      <c r="A96" s="1" t="s">
        <v>14</v>
      </c>
      <c r="B96" s="1">
        <v>8228343.0</v>
      </c>
      <c r="C96" s="1" t="s">
        <v>415</v>
      </c>
      <c r="D96" s="1" t="s">
        <v>442</v>
      </c>
      <c r="E96" s="1" t="s">
        <v>443</v>
      </c>
      <c r="F96" s="1" t="s">
        <v>444</v>
      </c>
      <c r="G96" s="1" t="s">
        <v>445</v>
      </c>
      <c r="H96" s="1" t="s">
        <v>446</v>
      </c>
      <c r="I96" s="1" t="s">
        <v>447</v>
      </c>
      <c r="J96" s="1" t="str">
        <f t="shared" si="1"/>
        <v>Non-Compliant</v>
      </c>
      <c r="K96" s="1" t="str">
        <f t="shared" si="2"/>
        <v>Non-Incentive</v>
      </c>
      <c r="L96" s="1" t="str">
        <f t="shared" si="3"/>
        <v>TUG</v>
      </c>
      <c r="M96" s="1">
        <f t="shared" si="4"/>
        <v>3</v>
      </c>
      <c r="N96" s="1">
        <f t="shared" si="5"/>
        <v>2017</v>
      </c>
    </row>
    <row r="97" ht="15.75" customHeight="1">
      <c r="A97" s="1" t="s">
        <v>14</v>
      </c>
      <c r="B97" s="1">
        <v>8234289.0</v>
      </c>
      <c r="C97" s="1" t="s">
        <v>448</v>
      </c>
      <c r="D97" s="1" t="s">
        <v>449</v>
      </c>
      <c r="E97" s="1" t="s">
        <v>450</v>
      </c>
      <c r="F97" s="1" t="s">
        <v>451</v>
      </c>
      <c r="G97" s="1" t="s">
        <v>19</v>
      </c>
      <c r="H97" s="1" t="s">
        <v>452</v>
      </c>
      <c r="I97" s="1" t="s">
        <v>406</v>
      </c>
      <c r="J97" s="1" t="str">
        <f t="shared" si="1"/>
        <v>Non-Compliant</v>
      </c>
      <c r="K97" s="1" t="str">
        <f t="shared" si="2"/>
        <v>Non-Incentive</v>
      </c>
      <c r="L97" s="1" t="str">
        <f t="shared" si="3"/>
        <v>TUG</v>
      </c>
      <c r="M97" s="1">
        <f t="shared" si="4"/>
        <v>3</v>
      </c>
      <c r="N97" s="1">
        <f t="shared" si="5"/>
        <v>2017</v>
      </c>
    </row>
    <row r="98" ht="15.75" customHeight="1">
      <c r="A98" s="1" t="s">
        <v>14</v>
      </c>
      <c r="B98" s="1">
        <v>8235656.0</v>
      </c>
      <c r="C98" s="1" t="s">
        <v>448</v>
      </c>
      <c r="D98" s="1" t="s">
        <v>453</v>
      </c>
      <c r="E98" s="1" t="s">
        <v>388</v>
      </c>
      <c r="F98" s="1" t="s">
        <v>454</v>
      </c>
      <c r="G98" s="1" t="s">
        <v>455</v>
      </c>
      <c r="H98" s="1" t="s">
        <v>456</v>
      </c>
      <c r="I98" s="1" t="s">
        <v>457</v>
      </c>
      <c r="J98" s="1" t="str">
        <f t="shared" si="1"/>
        <v>Non-Compliant</v>
      </c>
      <c r="K98" s="1" t="str">
        <f t="shared" si="2"/>
        <v>Non-Incentive</v>
      </c>
      <c r="L98" s="1" t="str">
        <f t="shared" si="3"/>
        <v>TUG</v>
      </c>
      <c r="M98" s="1">
        <f t="shared" si="4"/>
        <v>3</v>
      </c>
      <c r="N98" s="1">
        <f t="shared" si="5"/>
        <v>2017</v>
      </c>
    </row>
    <row r="99" ht="15.75" customHeight="1">
      <c r="A99" s="1" t="s">
        <v>14</v>
      </c>
      <c r="B99" s="1">
        <v>8239122.0</v>
      </c>
      <c r="C99" s="1" t="s">
        <v>448</v>
      </c>
      <c r="D99" s="1" t="s">
        <v>458</v>
      </c>
      <c r="E99" s="1" t="s">
        <v>358</v>
      </c>
      <c r="F99" s="1" t="s">
        <v>459</v>
      </c>
      <c r="G99" s="1" t="s">
        <v>460</v>
      </c>
      <c r="H99" s="1" t="s">
        <v>461</v>
      </c>
      <c r="I99" s="1" t="s">
        <v>462</v>
      </c>
      <c r="J99" s="1" t="str">
        <f t="shared" si="1"/>
        <v>Non-Compliant</v>
      </c>
      <c r="K99" s="1" t="str">
        <f t="shared" si="2"/>
        <v>Non-Incentive</v>
      </c>
      <c r="L99" s="1" t="str">
        <f t="shared" si="3"/>
        <v>TUG</v>
      </c>
      <c r="M99" s="1">
        <f t="shared" si="4"/>
        <v>3</v>
      </c>
      <c r="N99" s="1">
        <f t="shared" si="5"/>
        <v>2017</v>
      </c>
    </row>
    <row r="100" ht="15.75" customHeight="1">
      <c r="A100" s="1" t="s">
        <v>14</v>
      </c>
      <c r="B100" s="1">
        <v>8239128.0</v>
      </c>
      <c r="C100" s="1" t="s">
        <v>448</v>
      </c>
      <c r="D100" s="1" t="s">
        <v>463</v>
      </c>
      <c r="E100" s="1" t="s">
        <v>358</v>
      </c>
      <c r="F100" s="1" t="s">
        <v>459</v>
      </c>
      <c r="G100" s="1" t="s">
        <v>460</v>
      </c>
      <c r="H100" s="1" t="s">
        <v>461</v>
      </c>
      <c r="I100" s="1" t="s">
        <v>462</v>
      </c>
      <c r="J100" s="1" t="str">
        <f t="shared" si="1"/>
        <v>Non-Compliant</v>
      </c>
      <c r="K100" s="1" t="str">
        <f t="shared" si="2"/>
        <v>Non-Incentive</v>
      </c>
      <c r="L100" s="1" t="str">
        <f t="shared" si="3"/>
        <v>TUG</v>
      </c>
      <c r="M100" s="1">
        <f t="shared" si="4"/>
        <v>3</v>
      </c>
      <c r="N100" s="1">
        <f t="shared" si="5"/>
        <v>2017</v>
      </c>
    </row>
    <row r="101" ht="15.75" customHeight="1">
      <c r="A101" s="1" t="s">
        <v>14</v>
      </c>
      <c r="B101" s="1">
        <v>8239129.0</v>
      </c>
      <c r="C101" s="1" t="s">
        <v>448</v>
      </c>
      <c r="D101" s="1" t="s">
        <v>464</v>
      </c>
      <c r="E101" s="1" t="s">
        <v>358</v>
      </c>
      <c r="F101" s="1" t="s">
        <v>459</v>
      </c>
      <c r="G101" s="1" t="s">
        <v>460</v>
      </c>
      <c r="H101" s="1" t="s">
        <v>461</v>
      </c>
      <c r="I101" s="1" t="s">
        <v>462</v>
      </c>
      <c r="J101" s="1" t="str">
        <f t="shared" si="1"/>
        <v>Non-Compliant</v>
      </c>
      <c r="K101" s="1" t="str">
        <f t="shared" si="2"/>
        <v>Non-Incentive</v>
      </c>
      <c r="L101" s="1" t="str">
        <f t="shared" si="3"/>
        <v>TUG</v>
      </c>
      <c r="M101" s="1">
        <f t="shared" si="4"/>
        <v>3</v>
      </c>
      <c r="N101" s="1">
        <f t="shared" si="5"/>
        <v>2017</v>
      </c>
    </row>
    <row r="102" ht="15.75" customHeight="1">
      <c r="A102" s="1" t="s">
        <v>14</v>
      </c>
      <c r="B102" s="1">
        <v>8241970.0</v>
      </c>
      <c r="C102" s="1" t="s">
        <v>448</v>
      </c>
      <c r="D102" s="1" t="s">
        <v>465</v>
      </c>
      <c r="E102" s="1" t="s">
        <v>433</v>
      </c>
      <c r="F102" s="1" t="s">
        <v>466</v>
      </c>
      <c r="G102" s="1" t="s">
        <v>467</v>
      </c>
      <c r="H102" s="1" t="s">
        <v>468</v>
      </c>
      <c r="I102" s="1" t="s">
        <v>462</v>
      </c>
      <c r="J102" s="1" t="str">
        <f t="shared" si="1"/>
        <v>Non-Compliant</v>
      </c>
      <c r="K102" s="1" t="str">
        <f t="shared" si="2"/>
        <v>Non-Incentive</v>
      </c>
      <c r="L102" s="1" t="str">
        <f t="shared" si="3"/>
        <v>TUG</v>
      </c>
      <c r="M102" s="1">
        <f t="shared" si="4"/>
        <v>3</v>
      </c>
      <c r="N102" s="1">
        <f t="shared" si="5"/>
        <v>2017</v>
      </c>
    </row>
    <row r="103" ht="15.75" customHeight="1">
      <c r="A103" s="1" t="s">
        <v>14</v>
      </c>
      <c r="B103" s="1">
        <v>8241971.0</v>
      </c>
      <c r="C103" s="1" t="s">
        <v>448</v>
      </c>
      <c r="D103" s="1" t="s">
        <v>469</v>
      </c>
      <c r="E103" s="1" t="s">
        <v>433</v>
      </c>
      <c r="F103" s="1" t="s">
        <v>466</v>
      </c>
      <c r="G103" s="1" t="s">
        <v>467</v>
      </c>
      <c r="H103" s="1" t="s">
        <v>468</v>
      </c>
      <c r="I103" s="1" t="s">
        <v>462</v>
      </c>
      <c r="J103" s="1" t="str">
        <f t="shared" si="1"/>
        <v>Non-Compliant</v>
      </c>
      <c r="K103" s="1" t="str">
        <f t="shared" si="2"/>
        <v>Non-Incentive</v>
      </c>
      <c r="L103" s="1" t="str">
        <f t="shared" si="3"/>
        <v>TUG</v>
      </c>
      <c r="M103" s="1">
        <f t="shared" si="4"/>
        <v>3</v>
      </c>
      <c r="N103" s="1">
        <f t="shared" si="5"/>
        <v>2017</v>
      </c>
    </row>
    <row r="104" ht="15.75" customHeight="1">
      <c r="A104" s="1" t="s">
        <v>14</v>
      </c>
      <c r="B104" s="1">
        <v>8241978.0</v>
      </c>
      <c r="C104" s="1" t="s">
        <v>448</v>
      </c>
      <c r="D104" s="1" t="s">
        <v>470</v>
      </c>
      <c r="E104" s="1" t="s">
        <v>433</v>
      </c>
      <c r="F104" s="1" t="s">
        <v>466</v>
      </c>
      <c r="G104" s="1" t="s">
        <v>471</v>
      </c>
      <c r="H104" s="1" t="s">
        <v>472</v>
      </c>
      <c r="I104" s="1" t="s">
        <v>462</v>
      </c>
      <c r="J104" s="1" t="str">
        <f t="shared" si="1"/>
        <v>Non-Compliant</v>
      </c>
      <c r="K104" s="1" t="str">
        <f t="shared" si="2"/>
        <v>Non-Incentive</v>
      </c>
      <c r="L104" s="1" t="str">
        <f t="shared" si="3"/>
        <v>TUG</v>
      </c>
      <c r="M104" s="1">
        <f t="shared" si="4"/>
        <v>3</v>
      </c>
      <c r="N104" s="1">
        <f t="shared" si="5"/>
        <v>2017</v>
      </c>
    </row>
    <row r="105" ht="15.75" customHeight="1">
      <c r="A105" s="1" t="s">
        <v>14</v>
      </c>
      <c r="B105" s="1">
        <v>8247826.0</v>
      </c>
      <c r="C105" s="1" t="s">
        <v>473</v>
      </c>
      <c r="D105" s="1" t="s">
        <v>474</v>
      </c>
      <c r="E105" s="1" t="s">
        <v>433</v>
      </c>
      <c r="F105" s="1" t="s">
        <v>475</v>
      </c>
      <c r="G105" s="1" t="s">
        <v>19</v>
      </c>
      <c r="H105" s="1" t="s">
        <v>476</v>
      </c>
      <c r="I105" s="1" t="s">
        <v>477</v>
      </c>
      <c r="J105" s="1" t="str">
        <f t="shared" si="1"/>
        <v>Non-Compliant</v>
      </c>
      <c r="K105" s="1" t="str">
        <f t="shared" si="2"/>
        <v>Non-Incentive</v>
      </c>
      <c r="L105" s="1" t="str">
        <f t="shared" si="3"/>
        <v>TUG</v>
      </c>
      <c r="M105" s="1">
        <f t="shared" si="4"/>
        <v>3</v>
      </c>
      <c r="N105" s="1">
        <f t="shared" si="5"/>
        <v>2017</v>
      </c>
    </row>
    <row r="106" ht="15.75" customHeight="1">
      <c r="A106" s="1" t="s">
        <v>14</v>
      </c>
      <c r="B106" s="1">
        <v>8249349.0</v>
      </c>
      <c r="C106" s="1" t="s">
        <v>473</v>
      </c>
      <c r="D106" s="1" t="s">
        <v>478</v>
      </c>
      <c r="E106" s="1" t="s">
        <v>479</v>
      </c>
      <c r="F106" s="1" t="s">
        <v>480</v>
      </c>
      <c r="G106" s="1" t="s">
        <v>19</v>
      </c>
      <c r="H106" s="1" t="s">
        <v>481</v>
      </c>
      <c r="I106" s="1" t="s">
        <v>32</v>
      </c>
      <c r="J106" s="1" t="str">
        <f t="shared" si="1"/>
        <v>Non-Compliant</v>
      </c>
      <c r="K106" s="1" t="str">
        <f t="shared" si="2"/>
        <v>Non-Incentive</v>
      </c>
      <c r="L106" s="1" t="str">
        <f t="shared" si="3"/>
        <v>TUG</v>
      </c>
      <c r="M106" s="1">
        <f t="shared" si="4"/>
        <v>3</v>
      </c>
      <c r="N106" s="1">
        <f t="shared" si="5"/>
        <v>2017</v>
      </c>
    </row>
    <row r="107" ht="15.75" customHeight="1">
      <c r="A107" s="1" t="s">
        <v>14</v>
      </c>
      <c r="B107" s="1">
        <v>8263241.0</v>
      </c>
      <c r="C107" s="1" t="s">
        <v>473</v>
      </c>
      <c r="D107" s="1" t="s">
        <v>482</v>
      </c>
      <c r="E107" s="1" t="s">
        <v>479</v>
      </c>
      <c r="F107" s="1" t="s">
        <v>483</v>
      </c>
      <c r="G107" s="1" t="s">
        <v>19</v>
      </c>
      <c r="H107" s="1" t="s">
        <v>484</v>
      </c>
      <c r="I107" s="1" t="s">
        <v>32</v>
      </c>
      <c r="J107" s="1" t="str">
        <f t="shared" si="1"/>
        <v>Non-Compliant</v>
      </c>
      <c r="K107" s="1" t="str">
        <f t="shared" si="2"/>
        <v>Non-Incentive</v>
      </c>
      <c r="L107" s="1" t="str">
        <f t="shared" si="3"/>
        <v>TUG</v>
      </c>
      <c r="M107" s="1">
        <f t="shared" si="4"/>
        <v>3</v>
      </c>
      <c r="N107" s="1">
        <f t="shared" si="5"/>
        <v>2017</v>
      </c>
    </row>
    <row r="108" ht="15.75" customHeight="1">
      <c r="A108" s="1" t="s">
        <v>14</v>
      </c>
      <c r="B108" s="1">
        <v>8288523.0</v>
      </c>
      <c r="C108" s="1" t="s">
        <v>485</v>
      </c>
      <c r="D108" s="1" t="s">
        <v>486</v>
      </c>
      <c r="E108" s="1" t="s">
        <v>479</v>
      </c>
      <c r="F108" s="1" t="s">
        <v>487</v>
      </c>
      <c r="G108" s="1" t="s">
        <v>488</v>
      </c>
      <c r="H108" s="1" t="s">
        <v>489</v>
      </c>
      <c r="I108" s="1" t="s">
        <v>462</v>
      </c>
      <c r="J108" s="1" t="str">
        <f t="shared" si="1"/>
        <v>Non-Compliant</v>
      </c>
      <c r="K108" s="1" t="str">
        <f t="shared" si="2"/>
        <v>Non-Incentive</v>
      </c>
      <c r="L108" s="1" t="str">
        <f t="shared" si="3"/>
        <v>TUG</v>
      </c>
      <c r="M108" s="1">
        <f t="shared" si="4"/>
        <v>3</v>
      </c>
      <c r="N108" s="1">
        <f t="shared" si="5"/>
        <v>2017</v>
      </c>
    </row>
    <row r="109" ht="15.75" customHeight="1">
      <c r="A109" s="1" t="s">
        <v>14</v>
      </c>
      <c r="B109" s="1">
        <v>8290768.0</v>
      </c>
      <c r="C109" s="1" t="s">
        <v>485</v>
      </c>
      <c r="D109" s="1" t="s">
        <v>490</v>
      </c>
      <c r="E109" s="1" t="s">
        <v>479</v>
      </c>
      <c r="F109" s="1" t="s">
        <v>491</v>
      </c>
      <c r="G109" s="1" t="s">
        <v>492</v>
      </c>
      <c r="H109" s="1" t="s">
        <v>493</v>
      </c>
      <c r="I109" s="1" t="s">
        <v>462</v>
      </c>
      <c r="J109" s="1" t="str">
        <f t="shared" si="1"/>
        <v>Non-Compliant</v>
      </c>
      <c r="K109" s="1" t="str">
        <f t="shared" si="2"/>
        <v>Non-Incentive</v>
      </c>
      <c r="L109" s="1" t="str">
        <f t="shared" si="3"/>
        <v>TUG</v>
      </c>
      <c r="M109" s="1">
        <f t="shared" si="4"/>
        <v>3</v>
      </c>
      <c r="N109" s="1">
        <f t="shared" si="5"/>
        <v>2017</v>
      </c>
    </row>
    <row r="110" ht="15.75" customHeight="1">
      <c r="A110" s="1" t="s">
        <v>14</v>
      </c>
      <c r="B110" s="1">
        <v>8290787.0</v>
      </c>
      <c r="C110" s="1" t="s">
        <v>485</v>
      </c>
      <c r="D110" s="1" t="s">
        <v>494</v>
      </c>
      <c r="E110" s="1" t="s">
        <v>479</v>
      </c>
      <c r="F110" s="1" t="s">
        <v>491</v>
      </c>
      <c r="G110" s="1" t="s">
        <v>492</v>
      </c>
      <c r="H110" s="1" t="s">
        <v>493</v>
      </c>
      <c r="I110" s="1" t="s">
        <v>462</v>
      </c>
      <c r="J110" s="1" t="str">
        <f t="shared" si="1"/>
        <v>Non-Compliant</v>
      </c>
      <c r="K110" s="1" t="str">
        <f t="shared" si="2"/>
        <v>Non-Incentive</v>
      </c>
      <c r="L110" s="1" t="str">
        <f t="shared" si="3"/>
        <v>TUG</v>
      </c>
      <c r="M110" s="1">
        <f t="shared" si="4"/>
        <v>3</v>
      </c>
      <c r="N110" s="1">
        <f t="shared" si="5"/>
        <v>2017</v>
      </c>
    </row>
    <row r="111" ht="15.75" customHeight="1">
      <c r="A111" s="1" t="s">
        <v>14</v>
      </c>
      <c r="B111" s="1">
        <v>8304313.0</v>
      </c>
      <c r="C111" s="1" t="s">
        <v>495</v>
      </c>
      <c r="D111" s="1" t="s">
        <v>496</v>
      </c>
      <c r="E111" s="1" t="s">
        <v>388</v>
      </c>
      <c r="F111" s="1" t="s">
        <v>497</v>
      </c>
      <c r="G111" s="1" t="s">
        <v>19</v>
      </c>
      <c r="H111" s="1" t="s">
        <v>498</v>
      </c>
      <c r="I111" s="1" t="s">
        <v>499</v>
      </c>
      <c r="J111" s="1" t="str">
        <f t="shared" si="1"/>
        <v>Non-Compliant</v>
      </c>
      <c r="K111" s="1" t="str">
        <f t="shared" si="2"/>
        <v>Non-Incentive</v>
      </c>
      <c r="L111" s="1" t="str">
        <f t="shared" si="3"/>
        <v>TUG</v>
      </c>
      <c r="M111" s="1">
        <f t="shared" si="4"/>
        <v>3</v>
      </c>
      <c r="N111" s="1">
        <f t="shared" si="5"/>
        <v>2017</v>
      </c>
    </row>
    <row r="112" ht="15.75" customHeight="1">
      <c r="A112" s="1" t="s">
        <v>14</v>
      </c>
      <c r="B112" s="1">
        <v>8305029.0</v>
      </c>
      <c r="C112" s="1" t="s">
        <v>495</v>
      </c>
      <c r="D112" s="1" t="s">
        <v>500</v>
      </c>
      <c r="E112" s="1" t="s">
        <v>400</v>
      </c>
      <c r="F112" s="1" t="s">
        <v>501</v>
      </c>
      <c r="G112" s="1" t="s">
        <v>19</v>
      </c>
      <c r="H112" s="1" t="s">
        <v>502</v>
      </c>
      <c r="I112" s="1" t="s">
        <v>503</v>
      </c>
      <c r="J112" s="1" t="str">
        <f t="shared" si="1"/>
        <v>Non-Compliant</v>
      </c>
      <c r="K112" s="1" t="str">
        <f t="shared" si="2"/>
        <v>Non-Incentive</v>
      </c>
      <c r="L112" s="1" t="str">
        <f t="shared" si="3"/>
        <v>TUG</v>
      </c>
      <c r="M112" s="1">
        <f t="shared" si="4"/>
        <v>3</v>
      </c>
      <c r="N112" s="1">
        <f t="shared" si="5"/>
        <v>2017</v>
      </c>
    </row>
    <row r="113" ht="15.75" customHeight="1">
      <c r="A113" s="1" t="s">
        <v>14</v>
      </c>
      <c r="B113" s="1">
        <v>8322996.0</v>
      </c>
      <c r="C113" s="1" t="s">
        <v>504</v>
      </c>
      <c r="D113" s="1" t="s">
        <v>505</v>
      </c>
      <c r="E113" s="1" t="s">
        <v>400</v>
      </c>
      <c r="F113" s="1" t="s">
        <v>506</v>
      </c>
      <c r="G113" s="1" t="s">
        <v>19</v>
      </c>
      <c r="H113" s="1" t="s">
        <v>507</v>
      </c>
      <c r="I113" s="1" t="s">
        <v>508</v>
      </c>
      <c r="J113" s="1" t="str">
        <f t="shared" si="1"/>
        <v>Non-Compliant</v>
      </c>
      <c r="K113" s="1" t="str">
        <f t="shared" si="2"/>
        <v>Non-Incentive</v>
      </c>
      <c r="L113" s="1" t="str">
        <f t="shared" si="3"/>
        <v>TUG</v>
      </c>
      <c r="M113" s="1">
        <f t="shared" si="4"/>
        <v>3</v>
      </c>
      <c r="N113" s="1">
        <f t="shared" si="5"/>
        <v>2017</v>
      </c>
    </row>
    <row r="114" ht="15.75" customHeight="1">
      <c r="A114" s="1" t="s">
        <v>14</v>
      </c>
      <c r="B114" s="1">
        <v>8323127.0</v>
      </c>
      <c r="C114" s="1" t="s">
        <v>504</v>
      </c>
      <c r="D114" s="1" t="s">
        <v>509</v>
      </c>
      <c r="E114" s="1" t="s">
        <v>510</v>
      </c>
      <c r="F114" s="1" t="s">
        <v>511</v>
      </c>
      <c r="G114" s="1" t="s">
        <v>37</v>
      </c>
      <c r="H114" s="1" t="s">
        <v>512</v>
      </c>
      <c r="I114" s="1" t="s">
        <v>513</v>
      </c>
      <c r="J114" s="1" t="str">
        <f t="shared" si="1"/>
        <v>Non-Compliant</v>
      </c>
      <c r="K114" s="1" t="str">
        <f t="shared" si="2"/>
        <v>Non-Incentive</v>
      </c>
      <c r="L114" s="1" t="str">
        <f t="shared" si="3"/>
        <v>TUG</v>
      </c>
      <c r="M114" s="1">
        <f t="shared" si="4"/>
        <v>3</v>
      </c>
      <c r="N114" s="1">
        <f t="shared" si="5"/>
        <v>2017</v>
      </c>
    </row>
    <row r="115" ht="15.75" customHeight="1">
      <c r="A115" s="1" t="s">
        <v>14</v>
      </c>
      <c r="B115" s="1">
        <v>8325105.0</v>
      </c>
      <c r="C115" s="1" t="s">
        <v>504</v>
      </c>
      <c r="D115" s="1" t="s">
        <v>514</v>
      </c>
      <c r="E115" s="1" t="s">
        <v>515</v>
      </c>
      <c r="F115" s="1" t="s">
        <v>516</v>
      </c>
      <c r="G115" s="1" t="s">
        <v>19</v>
      </c>
      <c r="H115" s="1" t="s">
        <v>517</v>
      </c>
      <c r="I115" s="1" t="s">
        <v>518</v>
      </c>
      <c r="J115" s="1" t="str">
        <f t="shared" si="1"/>
        <v>Non-Compliant</v>
      </c>
      <c r="K115" s="1" t="str">
        <f t="shared" si="2"/>
        <v>Non-Incentive</v>
      </c>
      <c r="L115" s="1" t="str">
        <f t="shared" si="3"/>
        <v>TUG</v>
      </c>
      <c r="M115" s="1">
        <f t="shared" si="4"/>
        <v>3</v>
      </c>
      <c r="N115" s="1">
        <f t="shared" si="5"/>
        <v>2017</v>
      </c>
    </row>
    <row r="116" ht="15.75" customHeight="1">
      <c r="A116" s="1" t="s">
        <v>14</v>
      </c>
      <c r="B116" s="1">
        <v>8338701.0</v>
      </c>
      <c r="C116" s="1" t="s">
        <v>504</v>
      </c>
      <c r="D116" s="1" t="s">
        <v>519</v>
      </c>
      <c r="E116" s="1" t="s">
        <v>388</v>
      </c>
      <c r="F116" s="1" t="s">
        <v>520</v>
      </c>
      <c r="G116" s="1" t="s">
        <v>19</v>
      </c>
      <c r="H116" s="1" t="s">
        <v>521</v>
      </c>
      <c r="I116" s="1" t="s">
        <v>522</v>
      </c>
      <c r="J116" s="1" t="str">
        <f t="shared" si="1"/>
        <v>Non-Compliant</v>
      </c>
      <c r="K116" s="1" t="str">
        <f t="shared" si="2"/>
        <v>Non-Incentive</v>
      </c>
      <c r="L116" s="1" t="str">
        <f t="shared" si="3"/>
        <v>TUG</v>
      </c>
      <c r="M116" s="1">
        <f t="shared" si="4"/>
        <v>3</v>
      </c>
      <c r="N116" s="1">
        <f t="shared" si="5"/>
        <v>2017</v>
      </c>
    </row>
    <row r="117" ht="15.75" customHeight="1">
      <c r="A117" s="1" t="s">
        <v>14</v>
      </c>
      <c r="B117" s="1">
        <v>8338807.0</v>
      </c>
      <c r="C117" s="1" t="s">
        <v>504</v>
      </c>
      <c r="D117" s="1" t="s">
        <v>523</v>
      </c>
      <c r="E117" s="1" t="s">
        <v>524</v>
      </c>
      <c r="F117" s="1" t="s">
        <v>525</v>
      </c>
      <c r="G117" s="1" t="s">
        <v>37</v>
      </c>
      <c r="H117" s="1" t="s">
        <v>526</v>
      </c>
      <c r="I117" s="1" t="s">
        <v>527</v>
      </c>
      <c r="J117" s="1" t="str">
        <f t="shared" si="1"/>
        <v>Non-Compliant</v>
      </c>
      <c r="K117" s="1" t="str">
        <f t="shared" si="2"/>
        <v>Non-Incentive</v>
      </c>
      <c r="L117" s="1" t="str">
        <f t="shared" si="3"/>
        <v>TUG</v>
      </c>
      <c r="M117" s="1">
        <f t="shared" si="4"/>
        <v>3</v>
      </c>
      <c r="N117" s="1">
        <f t="shared" si="5"/>
        <v>2017</v>
      </c>
    </row>
    <row r="118" ht="15.75" customHeight="1">
      <c r="A118" s="1" t="s">
        <v>14</v>
      </c>
      <c r="B118" s="1">
        <v>8338839.0</v>
      </c>
      <c r="C118" s="1" t="s">
        <v>504</v>
      </c>
      <c r="D118" s="1" t="s">
        <v>528</v>
      </c>
      <c r="E118" s="1" t="s">
        <v>529</v>
      </c>
      <c r="F118" s="1" t="s">
        <v>530</v>
      </c>
      <c r="G118" s="1" t="s">
        <v>19</v>
      </c>
      <c r="H118" s="1" t="s">
        <v>531</v>
      </c>
      <c r="I118" s="1" t="s">
        <v>532</v>
      </c>
      <c r="J118" s="1" t="str">
        <f t="shared" si="1"/>
        <v>Non-Compliant</v>
      </c>
      <c r="K118" s="1" t="str">
        <f t="shared" si="2"/>
        <v>Non-Incentive</v>
      </c>
      <c r="L118" s="1" t="str">
        <f t="shared" si="3"/>
        <v>TUG</v>
      </c>
      <c r="M118" s="1">
        <f t="shared" si="4"/>
        <v>3</v>
      </c>
      <c r="N118" s="1">
        <f t="shared" si="5"/>
        <v>2017</v>
      </c>
    </row>
    <row r="119" ht="15.75" customHeight="1">
      <c r="A119" s="1" t="s">
        <v>14</v>
      </c>
      <c r="B119" s="1">
        <v>8340706.0</v>
      </c>
      <c r="C119" s="1" t="s">
        <v>504</v>
      </c>
      <c r="D119" s="1" t="s">
        <v>533</v>
      </c>
      <c r="E119" s="1" t="s">
        <v>534</v>
      </c>
      <c r="F119" s="1" t="s">
        <v>535</v>
      </c>
      <c r="G119" s="1" t="s">
        <v>19</v>
      </c>
      <c r="H119" s="1" t="s">
        <v>536</v>
      </c>
      <c r="I119" s="1" t="s">
        <v>537</v>
      </c>
      <c r="J119" s="1" t="str">
        <f t="shared" si="1"/>
        <v>Non-Compliant</v>
      </c>
      <c r="K119" s="1" t="str">
        <f t="shared" si="2"/>
        <v>Non-Incentive</v>
      </c>
      <c r="L119" s="1" t="str">
        <f t="shared" si="3"/>
        <v>TUG</v>
      </c>
      <c r="M119" s="1">
        <f t="shared" si="4"/>
        <v>3</v>
      </c>
      <c r="N119" s="1">
        <f t="shared" si="5"/>
        <v>2017</v>
      </c>
    </row>
    <row r="120" ht="15.75" customHeight="1">
      <c r="A120" s="1" t="s">
        <v>14</v>
      </c>
      <c r="B120" s="1">
        <v>8348694.0</v>
      </c>
      <c r="C120" s="1" t="s">
        <v>538</v>
      </c>
      <c r="D120" s="1" t="s">
        <v>539</v>
      </c>
      <c r="E120" s="1" t="s">
        <v>540</v>
      </c>
      <c r="F120" s="1" t="s">
        <v>541</v>
      </c>
      <c r="G120" s="1" t="s">
        <v>19</v>
      </c>
      <c r="H120" s="1" t="s">
        <v>542</v>
      </c>
      <c r="I120" s="1" t="s">
        <v>391</v>
      </c>
      <c r="J120" s="1" t="str">
        <f t="shared" si="1"/>
        <v>Non-Compliant</v>
      </c>
      <c r="K120" s="1" t="str">
        <f t="shared" si="2"/>
        <v>Non-Incentive</v>
      </c>
      <c r="L120" s="1" t="str">
        <f t="shared" si="3"/>
        <v>TUG</v>
      </c>
      <c r="M120" s="1">
        <f t="shared" si="4"/>
        <v>3</v>
      </c>
      <c r="N120" s="1">
        <f t="shared" si="5"/>
        <v>2017</v>
      </c>
    </row>
    <row r="121" ht="15.75" customHeight="1">
      <c r="A121" s="1" t="s">
        <v>14</v>
      </c>
      <c r="B121" s="1">
        <v>8361009.0</v>
      </c>
      <c r="C121" s="1" t="s">
        <v>538</v>
      </c>
      <c r="D121" s="1" t="s">
        <v>543</v>
      </c>
      <c r="E121" s="1" t="s">
        <v>400</v>
      </c>
      <c r="F121" s="1" t="s">
        <v>506</v>
      </c>
      <c r="G121" s="1" t="s">
        <v>544</v>
      </c>
      <c r="H121" s="1" t="s">
        <v>545</v>
      </c>
      <c r="I121" s="1" t="s">
        <v>508</v>
      </c>
      <c r="J121" s="1" t="str">
        <f t="shared" si="1"/>
        <v>Non-Compliant</v>
      </c>
      <c r="K121" s="1" t="str">
        <f t="shared" si="2"/>
        <v>Non-Incentive</v>
      </c>
      <c r="L121" s="1" t="str">
        <f t="shared" si="3"/>
        <v>TUG</v>
      </c>
      <c r="M121" s="1">
        <f t="shared" si="4"/>
        <v>3</v>
      </c>
      <c r="N121" s="1">
        <f t="shared" si="5"/>
        <v>2017</v>
      </c>
    </row>
    <row r="122" ht="15.75" customHeight="1">
      <c r="A122" s="1" t="s">
        <v>14</v>
      </c>
      <c r="B122" s="1">
        <v>8371290.0</v>
      </c>
      <c r="C122" s="1" t="s">
        <v>538</v>
      </c>
      <c r="D122" s="1" t="s">
        <v>546</v>
      </c>
      <c r="E122" s="1" t="s">
        <v>400</v>
      </c>
      <c r="F122" s="1" t="s">
        <v>547</v>
      </c>
      <c r="G122" s="1" t="s">
        <v>19</v>
      </c>
      <c r="H122" s="1" t="s">
        <v>548</v>
      </c>
      <c r="I122" s="1" t="s">
        <v>549</v>
      </c>
      <c r="J122" s="1" t="str">
        <f t="shared" si="1"/>
        <v>Non-Compliant</v>
      </c>
      <c r="K122" s="1" t="str">
        <f t="shared" si="2"/>
        <v>Non-Incentive</v>
      </c>
      <c r="L122" s="1" t="str">
        <f t="shared" si="3"/>
        <v>TUG</v>
      </c>
      <c r="M122" s="1">
        <f t="shared" si="4"/>
        <v>3</v>
      </c>
      <c r="N122" s="1">
        <f t="shared" si="5"/>
        <v>2017</v>
      </c>
    </row>
    <row r="123" ht="15.75" customHeight="1">
      <c r="A123" s="1" t="s">
        <v>14</v>
      </c>
      <c r="B123" s="1">
        <v>8375057.0</v>
      </c>
      <c r="C123" s="1" t="s">
        <v>538</v>
      </c>
      <c r="D123" s="1" t="s">
        <v>550</v>
      </c>
      <c r="E123" s="1" t="s">
        <v>551</v>
      </c>
      <c r="F123" s="1" t="s">
        <v>552</v>
      </c>
      <c r="G123" s="1" t="s">
        <v>19</v>
      </c>
      <c r="H123" s="1" t="s">
        <v>553</v>
      </c>
      <c r="I123" s="1" t="s">
        <v>250</v>
      </c>
      <c r="J123" s="1" t="str">
        <f t="shared" si="1"/>
        <v>Non-Compliant</v>
      </c>
      <c r="K123" s="1" t="str">
        <f t="shared" si="2"/>
        <v>Non-Incentive</v>
      </c>
      <c r="L123" s="1" t="str">
        <f t="shared" si="3"/>
        <v>TUG</v>
      </c>
      <c r="M123" s="1">
        <f t="shared" si="4"/>
        <v>3</v>
      </c>
      <c r="N123" s="1">
        <f t="shared" si="5"/>
        <v>2017</v>
      </c>
    </row>
    <row r="124" ht="15.75" customHeight="1">
      <c r="A124" s="1" t="s">
        <v>14</v>
      </c>
      <c r="B124" s="1">
        <v>8395136.0</v>
      </c>
      <c r="C124" s="1" t="s">
        <v>554</v>
      </c>
      <c r="D124" s="1" t="s">
        <v>555</v>
      </c>
      <c r="E124" s="1" t="s">
        <v>524</v>
      </c>
      <c r="F124" s="1" t="s">
        <v>556</v>
      </c>
      <c r="G124" s="1" t="s">
        <v>19</v>
      </c>
      <c r="H124" s="1" t="s">
        <v>557</v>
      </c>
      <c r="I124" s="1" t="s">
        <v>558</v>
      </c>
      <c r="J124" s="1" t="str">
        <f t="shared" si="1"/>
        <v>Non-Compliant</v>
      </c>
      <c r="K124" s="1" t="str">
        <f t="shared" si="2"/>
        <v>Non-Incentive</v>
      </c>
      <c r="L124" s="1" t="str">
        <f t="shared" si="3"/>
        <v>TUG</v>
      </c>
      <c r="M124" s="1">
        <f t="shared" si="4"/>
        <v>3</v>
      </c>
      <c r="N124" s="1">
        <f t="shared" si="5"/>
        <v>2017</v>
      </c>
    </row>
    <row r="125" ht="15.75" customHeight="1">
      <c r="A125" s="1" t="s">
        <v>14</v>
      </c>
      <c r="B125" s="1">
        <v>8395644.0</v>
      </c>
      <c r="C125" s="1" t="s">
        <v>554</v>
      </c>
      <c r="D125" s="1" t="s">
        <v>559</v>
      </c>
      <c r="E125" s="1" t="s">
        <v>534</v>
      </c>
      <c r="F125" s="1" t="s">
        <v>560</v>
      </c>
      <c r="G125" s="1" t="s">
        <v>19</v>
      </c>
      <c r="H125" s="1" t="s">
        <v>561</v>
      </c>
      <c r="I125" s="1" t="s">
        <v>562</v>
      </c>
      <c r="J125" s="1" t="str">
        <f t="shared" si="1"/>
        <v>Non-Compliant</v>
      </c>
      <c r="K125" s="1" t="str">
        <f t="shared" si="2"/>
        <v>Non-Incentive</v>
      </c>
      <c r="L125" s="1" t="str">
        <f t="shared" si="3"/>
        <v>TUG</v>
      </c>
      <c r="M125" s="1">
        <f t="shared" si="4"/>
        <v>3</v>
      </c>
      <c r="N125" s="1">
        <f t="shared" si="5"/>
        <v>2017</v>
      </c>
    </row>
    <row r="126" ht="15.75" customHeight="1">
      <c r="A126" s="1" t="s">
        <v>14</v>
      </c>
      <c r="B126" s="1">
        <v>8398137.0</v>
      </c>
      <c r="C126" s="1" t="s">
        <v>554</v>
      </c>
      <c r="D126" s="1" t="s">
        <v>563</v>
      </c>
      <c r="E126" s="1" t="s">
        <v>551</v>
      </c>
      <c r="F126" s="1" t="s">
        <v>564</v>
      </c>
      <c r="G126" s="1" t="s">
        <v>19</v>
      </c>
      <c r="H126" s="1" t="s">
        <v>565</v>
      </c>
      <c r="I126" s="1" t="s">
        <v>32</v>
      </c>
      <c r="J126" s="1" t="str">
        <f t="shared" si="1"/>
        <v>Non-Compliant</v>
      </c>
      <c r="K126" s="1" t="str">
        <f t="shared" si="2"/>
        <v>Non-Incentive</v>
      </c>
      <c r="L126" s="1" t="str">
        <f t="shared" si="3"/>
        <v>TUG</v>
      </c>
      <c r="M126" s="1">
        <f t="shared" si="4"/>
        <v>3</v>
      </c>
      <c r="N126" s="1">
        <f t="shared" si="5"/>
        <v>2017</v>
      </c>
    </row>
    <row r="127" ht="15.75" customHeight="1">
      <c r="A127" s="1" t="s">
        <v>14</v>
      </c>
      <c r="B127" s="1">
        <v>8411392.0</v>
      </c>
      <c r="C127" s="1" t="s">
        <v>566</v>
      </c>
      <c r="D127" s="1" t="s">
        <v>567</v>
      </c>
      <c r="E127" s="1" t="s">
        <v>568</v>
      </c>
      <c r="F127" s="1" t="s">
        <v>569</v>
      </c>
      <c r="G127" s="1" t="s">
        <v>37</v>
      </c>
      <c r="H127" s="1" t="s">
        <v>570</v>
      </c>
      <c r="I127" s="1" t="s">
        <v>32</v>
      </c>
      <c r="J127" s="1" t="str">
        <f t="shared" si="1"/>
        <v>Non-Compliant</v>
      </c>
      <c r="K127" s="1" t="str">
        <f t="shared" si="2"/>
        <v>Non-Incentive</v>
      </c>
      <c r="L127" s="1" t="str">
        <f t="shared" si="3"/>
        <v>TUG</v>
      </c>
      <c r="M127" s="1">
        <f t="shared" si="4"/>
        <v>3</v>
      </c>
      <c r="N127" s="1">
        <f t="shared" si="5"/>
        <v>2017</v>
      </c>
    </row>
    <row r="128" ht="15.75" customHeight="1">
      <c r="A128" s="1" t="s">
        <v>14</v>
      </c>
      <c r="B128" s="1">
        <v>8424214.0</v>
      </c>
      <c r="C128" s="1" t="s">
        <v>571</v>
      </c>
      <c r="D128" s="1" t="s">
        <v>572</v>
      </c>
      <c r="E128" s="1" t="s">
        <v>524</v>
      </c>
      <c r="F128" s="1" t="s">
        <v>573</v>
      </c>
      <c r="G128" s="1" t="s">
        <v>37</v>
      </c>
      <c r="H128" s="1" t="s">
        <v>574</v>
      </c>
      <c r="I128" s="1" t="s">
        <v>575</v>
      </c>
      <c r="J128" s="1" t="str">
        <f t="shared" si="1"/>
        <v>Non-Compliant</v>
      </c>
      <c r="K128" s="1" t="str">
        <f t="shared" si="2"/>
        <v>Non-Incentive</v>
      </c>
      <c r="L128" s="1" t="str">
        <f t="shared" si="3"/>
        <v>TUG</v>
      </c>
      <c r="M128" s="1">
        <f t="shared" si="4"/>
        <v>3</v>
      </c>
      <c r="N128" s="1">
        <f t="shared" si="5"/>
        <v>2017</v>
      </c>
    </row>
    <row r="129" ht="15.75" customHeight="1">
      <c r="A129" s="1" t="s">
        <v>14</v>
      </c>
      <c r="B129" s="1">
        <v>8424711.0</v>
      </c>
      <c r="C129" s="1" t="s">
        <v>571</v>
      </c>
      <c r="D129" s="1" t="s">
        <v>576</v>
      </c>
      <c r="E129" s="1" t="s">
        <v>529</v>
      </c>
      <c r="F129" s="1" t="s">
        <v>577</v>
      </c>
      <c r="G129" s="1" t="s">
        <v>19</v>
      </c>
      <c r="H129" s="1" t="s">
        <v>578</v>
      </c>
      <c r="I129" s="1" t="s">
        <v>579</v>
      </c>
      <c r="J129" s="1" t="str">
        <f t="shared" si="1"/>
        <v>Non-Compliant</v>
      </c>
      <c r="K129" s="1" t="str">
        <f t="shared" si="2"/>
        <v>Non-Incentive</v>
      </c>
      <c r="L129" s="1" t="str">
        <f t="shared" si="3"/>
        <v>TUG</v>
      </c>
      <c r="M129" s="1">
        <f t="shared" si="4"/>
        <v>3</v>
      </c>
      <c r="N129" s="1">
        <f t="shared" si="5"/>
        <v>2017</v>
      </c>
    </row>
    <row r="130" ht="15.75" customHeight="1">
      <c r="A130" s="1" t="s">
        <v>14</v>
      </c>
      <c r="B130" s="1">
        <v>8425293.0</v>
      </c>
      <c r="C130" s="1" t="s">
        <v>571</v>
      </c>
      <c r="D130" s="1" t="s">
        <v>580</v>
      </c>
      <c r="E130" s="1" t="s">
        <v>581</v>
      </c>
      <c r="F130" s="1" t="s">
        <v>582</v>
      </c>
      <c r="G130" s="1" t="s">
        <v>19</v>
      </c>
      <c r="H130" s="1" t="s">
        <v>583</v>
      </c>
      <c r="I130" s="1" t="s">
        <v>584</v>
      </c>
      <c r="J130" s="1" t="str">
        <f t="shared" si="1"/>
        <v>Non-Compliant</v>
      </c>
      <c r="K130" s="1" t="str">
        <f t="shared" si="2"/>
        <v>Non-Incentive</v>
      </c>
      <c r="L130" s="1" t="str">
        <f t="shared" si="3"/>
        <v>TUG</v>
      </c>
      <c r="M130" s="1">
        <f t="shared" si="4"/>
        <v>3</v>
      </c>
      <c r="N130" s="1">
        <f t="shared" si="5"/>
        <v>2017</v>
      </c>
    </row>
    <row r="131" ht="15.75" customHeight="1">
      <c r="A131" s="1" t="s">
        <v>14</v>
      </c>
      <c r="B131" s="1">
        <v>8439375.0</v>
      </c>
      <c r="C131" s="1" t="s">
        <v>571</v>
      </c>
      <c r="D131" s="1" t="s">
        <v>585</v>
      </c>
      <c r="E131" s="1" t="s">
        <v>534</v>
      </c>
      <c r="F131" s="1" t="s">
        <v>586</v>
      </c>
      <c r="G131" s="1" t="s">
        <v>587</v>
      </c>
      <c r="H131" s="1" t="s">
        <v>588</v>
      </c>
      <c r="I131" s="1" t="s">
        <v>589</v>
      </c>
      <c r="J131" s="1" t="str">
        <f t="shared" si="1"/>
        <v>Non-Compliant</v>
      </c>
      <c r="K131" s="1" t="str">
        <f t="shared" si="2"/>
        <v>Non-Incentive</v>
      </c>
      <c r="L131" s="1" t="str">
        <f t="shared" si="3"/>
        <v>TUG</v>
      </c>
      <c r="M131" s="1">
        <f t="shared" si="4"/>
        <v>3</v>
      </c>
      <c r="N131" s="1">
        <f t="shared" si="5"/>
        <v>2017</v>
      </c>
    </row>
    <row r="132" ht="15.75" customHeight="1">
      <c r="A132" s="1" t="s">
        <v>14</v>
      </c>
      <c r="B132" s="1">
        <v>8439383.0</v>
      </c>
      <c r="C132" s="1" t="s">
        <v>571</v>
      </c>
      <c r="D132" s="1" t="s">
        <v>590</v>
      </c>
      <c r="E132" s="1" t="s">
        <v>534</v>
      </c>
      <c r="F132" s="1" t="s">
        <v>591</v>
      </c>
      <c r="G132" s="1" t="s">
        <v>587</v>
      </c>
      <c r="H132" s="1" t="s">
        <v>588</v>
      </c>
      <c r="I132" s="1" t="s">
        <v>589</v>
      </c>
      <c r="J132" s="1" t="str">
        <f t="shared" si="1"/>
        <v>Non-Compliant</v>
      </c>
      <c r="K132" s="1" t="str">
        <f t="shared" si="2"/>
        <v>Non-Incentive</v>
      </c>
      <c r="L132" s="1" t="str">
        <f t="shared" si="3"/>
        <v>TUG</v>
      </c>
      <c r="M132" s="1">
        <f t="shared" si="4"/>
        <v>3</v>
      </c>
      <c r="N132" s="1">
        <f t="shared" si="5"/>
        <v>2017</v>
      </c>
    </row>
    <row r="133" ht="15.75" customHeight="1">
      <c r="A133" s="1" t="s">
        <v>14</v>
      </c>
      <c r="B133" s="1">
        <v>8439422.0</v>
      </c>
      <c r="C133" s="1" t="s">
        <v>571</v>
      </c>
      <c r="D133" s="1" t="s">
        <v>592</v>
      </c>
      <c r="E133" s="1" t="s">
        <v>529</v>
      </c>
      <c r="F133" s="1" t="s">
        <v>593</v>
      </c>
      <c r="G133" s="1" t="s">
        <v>594</v>
      </c>
      <c r="H133" s="1" t="s">
        <v>595</v>
      </c>
      <c r="I133" s="1" t="s">
        <v>589</v>
      </c>
      <c r="J133" s="1" t="str">
        <f t="shared" si="1"/>
        <v>Non-Compliant</v>
      </c>
      <c r="K133" s="1" t="str">
        <f t="shared" si="2"/>
        <v>Non-Incentive</v>
      </c>
      <c r="L133" s="1" t="str">
        <f t="shared" si="3"/>
        <v>TUG</v>
      </c>
      <c r="M133" s="1">
        <f t="shared" si="4"/>
        <v>3</v>
      </c>
      <c r="N133" s="1">
        <f t="shared" si="5"/>
        <v>2017</v>
      </c>
    </row>
    <row r="134" ht="15.75" customHeight="1">
      <c r="A134" s="1" t="s">
        <v>14</v>
      </c>
      <c r="B134" s="1">
        <v>8452436.0</v>
      </c>
      <c r="C134" s="1" t="s">
        <v>596</v>
      </c>
      <c r="D134" s="1" t="s">
        <v>597</v>
      </c>
      <c r="E134" s="1" t="s">
        <v>598</v>
      </c>
      <c r="F134" s="1" t="s">
        <v>599</v>
      </c>
      <c r="G134" s="1" t="s">
        <v>19</v>
      </c>
      <c r="H134" s="1" t="s">
        <v>600</v>
      </c>
      <c r="I134" s="1" t="s">
        <v>601</v>
      </c>
      <c r="J134" s="1" t="str">
        <f t="shared" si="1"/>
        <v>Non-Compliant</v>
      </c>
      <c r="K134" s="1" t="str">
        <f t="shared" si="2"/>
        <v>Non-Incentive</v>
      </c>
      <c r="L134" s="1" t="str">
        <f t="shared" si="3"/>
        <v>TUG</v>
      </c>
      <c r="M134" s="1">
        <f t="shared" si="4"/>
        <v>3</v>
      </c>
      <c r="N134" s="1">
        <f t="shared" si="5"/>
        <v>2017</v>
      </c>
    </row>
    <row r="135" ht="15.75" customHeight="1">
      <c r="A135" s="1" t="s">
        <v>14</v>
      </c>
      <c r="B135" s="1">
        <v>8457825.0</v>
      </c>
      <c r="C135" s="1" t="s">
        <v>596</v>
      </c>
      <c r="D135" s="1" t="s">
        <v>602</v>
      </c>
      <c r="E135" s="1" t="s">
        <v>540</v>
      </c>
      <c r="F135" s="1" t="s">
        <v>603</v>
      </c>
      <c r="G135" s="1" t="s">
        <v>19</v>
      </c>
      <c r="H135" s="1" t="s">
        <v>604</v>
      </c>
      <c r="I135" s="1" t="s">
        <v>32</v>
      </c>
      <c r="J135" s="1" t="str">
        <f t="shared" si="1"/>
        <v>Non-Compliant</v>
      </c>
      <c r="K135" s="1" t="str">
        <f t="shared" si="2"/>
        <v>Non-Incentive</v>
      </c>
      <c r="L135" s="1" t="str">
        <f t="shared" si="3"/>
        <v>TUG</v>
      </c>
      <c r="M135" s="1">
        <f t="shared" si="4"/>
        <v>3</v>
      </c>
      <c r="N135" s="1">
        <f t="shared" si="5"/>
        <v>2017</v>
      </c>
    </row>
    <row r="136" ht="15.75" customHeight="1">
      <c r="A136" s="1" t="s">
        <v>14</v>
      </c>
      <c r="B136" s="1">
        <v>8462659.0</v>
      </c>
      <c r="C136" s="1" t="s">
        <v>596</v>
      </c>
      <c r="D136" s="1" t="s">
        <v>605</v>
      </c>
      <c r="E136" s="1" t="s">
        <v>606</v>
      </c>
      <c r="F136" s="1" t="s">
        <v>607</v>
      </c>
      <c r="G136" s="1" t="s">
        <v>37</v>
      </c>
      <c r="H136" s="1" t="s">
        <v>608</v>
      </c>
      <c r="I136" s="1" t="s">
        <v>378</v>
      </c>
      <c r="J136" s="1" t="str">
        <f t="shared" si="1"/>
        <v>Non-Compliant</v>
      </c>
      <c r="K136" s="1" t="str">
        <f t="shared" si="2"/>
        <v>Non-Incentive</v>
      </c>
      <c r="L136" s="1" t="str">
        <f t="shared" si="3"/>
        <v>TUG</v>
      </c>
      <c r="M136" s="1">
        <f t="shared" si="4"/>
        <v>3</v>
      </c>
      <c r="N136" s="1">
        <f t="shared" si="5"/>
        <v>2017</v>
      </c>
    </row>
    <row r="137" ht="15.75" customHeight="1">
      <c r="A137" s="1" t="s">
        <v>14</v>
      </c>
      <c r="B137" s="1">
        <v>8466834.0</v>
      </c>
      <c r="C137" s="1" t="s">
        <v>596</v>
      </c>
      <c r="D137" s="1" t="s">
        <v>609</v>
      </c>
      <c r="E137" s="1" t="s">
        <v>534</v>
      </c>
      <c r="F137" s="1" t="s">
        <v>610</v>
      </c>
      <c r="G137" s="1" t="s">
        <v>19</v>
      </c>
      <c r="H137" s="1" t="s">
        <v>611</v>
      </c>
      <c r="I137" s="1" t="s">
        <v>612</v>
      </c>
      <c r="J137" s="1" t="str">
        <f t="shared" si="1"/>
        <v>Non-Compliant</v>
      </c>
      <c r="K137" s="1" t="str">
        <f t="shared" si="2"/>
        <v>Non-Incentive</v>
      </c>
      <c r="L137" s="1" t="str">
        <f t="shared" si="3"/>
        <v>TUG</v>
      </c>
      <c r="M137" s="1">
        <f t="shared" si="4"/>
        <v>3</v>
      </c>
      <c r="N137" s="1">
        <f t="shared" si="5"/>
        <v>2017</v>
      </c>
    </row>
    <row r="138" ht="15.75" customHeight="1">
      <c r="A138" s="1" t="s">
        <v>14</v>
      </c>
      <c r="B138" s="1">
        <v>8469058.0</v>
      </c>
      <c r="C138" s="1" t="s">
        <v>596</v>
      </c>
      <c r="D138" s="1" t="s">
        <v>613</v>
      </c>
      <c r="E138" s="1" t="s">
        <v>540</v>
      </c>
      <c r="F138" s="1" t="s">
        <v>614</v>
      </c>
      <c r="G138" s="1" t="s">
        <v>19</v>
      </c>
      <c r="H138" s="1" t="s">
        <v>615</v>
      </c>
      <c r="I138" s="1" t="s">
        <v>616</v>
      </c>
      <c r="J138" s="1" t="str">
        <f t="shared" si="1"/>
        <v>Non-Compliant</v>
      </c>
      <c r="K138" s="1" t="str">
        <f t="shared" si="2"/>
        <v>Non-Incentive</v>
      </c>
      <c r="L138" s="1" t="str">
        <f t="shared" si="3"/>
        <v>TUG</v>
      </c>
      <c r="M138" s="1">
        <f t="shared" si="4"/>
        <v>3</v>
      </c>
      <c r="N138" s="1">
        <f t="shared" si="5"/>
        <v>2017</v>
      </c>
    </row>
    <row r="139" ht="15.75" customHeight="1">
      <c r="A139" s="1" t="s">
        <v>14</v>
      </c>
      <c r="B139" s="1">
        <v>8471397.0</v>
      </c>
      <c r="C139" s="1" t="s">
        <v>596</v>
      </c>
      <c r="D139" s="1" t="s">
        <v>617</v>
      </c>
      <c r="E139" s="1" t="s">
        <v>618</v>
      </c>
      <c r="F139" s="1" t="s">
        <v>619</v>
      </c>
      <c r="G139" s="1" t="s">
        <v>37</v>
      </c>
      <c r="H139" s="1" t="s">
        <v>620</v>
      </c>
      <c r="I139" s="1" t="s">
        <v>431</v>
      </c>
      <c r="J139" s="1" t="str">
        <f t="shared" si="1"/>
        <v>Non-Compliant</v>
      </c>
      <c r="K139" s="1" t="str">
        <f t="shared" si="2"/>
        <v>Non-Incentive</v>
      </c>
      <c r="L139" s="1" t="str">
        <f t="shared" si="3"/>
        <v>TUG</v>
      </c>
      <c r="M139" s="1">
        <f t="shared" si="4"/>
        <v>3</v>
      </c>
      <c r="N139" s="1">
        <f t="shared" si="5"/>
        <v>2017</v>
      </c>
    </row>
    <row r="140" ht="15.75" customHeight="1">
      <c r="A140" s="1" t="s">
        <v>14</v>
      </c>
      <c r="B140" s="1">
        <v>8483178.0</v>
      </c>
      <c r="C140" s="1" t="s">
        <v>621</v>
      </c>
      <c r="D140" s="1" t="s">
        <v>622</v>
      </c>
      <c r="E140" s="1" t="s">
        <v>540</v>
      </c>
      <c r="F140" s="1" t="s">
        <v>623</v>
      </c>
      <c r="G140" s="1" t="s">
        <v>19</v>
      </c>
      <c r="H140" s="1" t="s">
        <v>624</v>
      </c>
      <c r="I140" s="1" t="s">
        <v>625</v>
      </c>
      <c r="J140" s="1" t="str">
        <f t="shared" si="1"/>
        <v>Non-Compliant</v>
      </c>
      <c r="K140" s="1" t="str">
        <f t="shared" si="2"/>
        <v>Non-Incentive</v>
      </c>
      <c r="L140" s="1" t="str">
        <f t="shared" si="3"/>
        <v>TUG</v>
      </c>
      <c r="M140" s="1">
        <f t="shared" si="4"/>
        <v>3</v>
      </c>
      <c r="N140" s="1">
        <f t="shared" si="5"/>
        <v>2017</v>
      </c>
    </row>
    <row r="141" ht="15.75" customHeight="1">
      <c r="A141" s="1" t="s">
        <v>14</v>
      </c>
      <c r="B141" s="1">
        <v>8486246.0</v>
      </c>
      <c r="C141" s="1" t="s">
        <v>621</v>
      </c>
      <c r="D141" s="1" t="s">
        <v>626</v>
      </c>
      <c r="E141" s="1" t="s">
        <v>551</v>
      </c>
      <c r="F141" s="1" t="s">
        <v>627</v>
      </c>
      <c r="G141" s="1" t="s">
        <v>19</v>
      </c>
      <c r="H141" s="1" t="s">
        <v>628</v>
      </c>
      <c r="I141" s="1" t="s">
        <v>503</v>
      </c>
      <c r="J141" s="1" t="str">
        <f t="shared" si="1"/>
        <v>Non-Compliant</v>
      </c>
      <c r="K141" s="1" t="str">
        <f t="shared" si="2"/>
        <v>Non-Incentive</v>
      </c>
      <c r="L141" s="1" t="str">
        <f t="shared" si="3"/>
        <v>TUG</v>
      </c>
      <c r="M141" s="1">
        <f t="shared" si="4"/>
        <v>3</v>
      </c>
      <c r="N141" s="1">
        <f t="shared" si="5"/>
        <v>2017</v>
      </c>
    </row>
    <row r="142" ht="15.75" customHeight="1">
      <c r="A142" s="1" t="s">
        <v>14</v>
      </c>
      <c r="B142" s="1">
        <v>8488643.0</v>
      </c>
      <c r="C142" s="1" t="s">
        <v>621</v>
      </c>
      <c r="D142" s="1" t="s">
        <v>629</v>
      </c>
      <c r="E142" s="1" t="s">
        <v>630</v>
      </c>
      <c r="F142" s="1" t="s">
        <v>631</v>
      </c>
      <c r="G142" s="1" t="s">
        <v>632</v>
      </c>
      <c r="H142" s="1" t="s">
        <v>633</v>
      </c>
      <c r="I142" s="1" t="s">
        <v>634</v>
      </c>
      <c r="J142" s="1" t="str">
        <f t="shared" si="1"/>
        <v>Non-Compliant</v>
      </c>
      <c r="K142" s="1" t="str">
        <f t="shared" si="2"/>
        <v>Non-Incentive</v>
      </c>
      <c r="L142" s="1" t="str">
        <f t="shared" si="3"/>
        <v>TUG</v>
      </c>
      <c r="M142" s="1">
        <f t="shared" si="4"/>
        <v>3</v>
      </c>
      <c r="N142" s="1">
        <f t="shared" si="5"/>
        <v>2017</v>
      </c>
    </row>
    <row r="143" ht="15.75" customHeight="1">
      <c r="A143" s="1" t="s">
        <v>14</v>
      </c>
      <c r="B143" s="1">
        <v>8493626.0</v>
      </c>
      <c r="C143" s="1" t="s">
        <v>621</v>
      </c>
      <c r="D143" s="1" t="s">
        <v>635</v>
      </c>
      <c r="E143" s="1" t="s">
        <v>618</v>
      </c>
      <c r="F143" s="1" t="s">
        <v>636</v>
      </c>
      <c r="G143" s="1" t="s">
        <v>37</v>
      </c>
      <c r="H143" s="1" t="s">
        <v>637</v>
      </c>
      <c r="I143" s="1" t="s">
        <v>638</v>
      </c>
      <c r="J143" s="1" t="str">
        <f t="shared" si="1"/>
        <v>Non-Compliant</v>
      </c>
      <c r="K143" s="1" t="str">
        <f t="shared" si="2"/>
        <v>Non-Incentive</v>
      </c>
      <c r="L143" s="1" t="str">
        <f t="shared" si="3"/>
        <v>TUG</v>
      </c>
      <c r="M143" s="1">
        <f t="shared" si="4"/>
        <v>3</v>
      </c>
      <c r="N143" s="1">
        <f t="shared" si="5"/>
        <v>2017</v>
      </c>
    </row>
    <row r="144" ht="15.75" customHeight="1">
      <c r="A144" s="1" t="s">
        <v>14</v>
      </c>
      <c r="B144" s="1">
        <v>8502112.0</v>
      </c>
      <c r="C144" s="1" t="s">
        <v>639</v>
      </c>
      <c r="D144" s="1" t="s">
        <v>640</v>
      </c>
      <c r="E144" s="1" t="s">
        <v>641</v>
      </c>
      <c r="F144" s="1" t="s">
        <v>642</v>
      </c>
      <c r="G144" s="1" t="s">
        <v>19</v>
      </c>
      <c r="H144" s="1" t="s">
        <v>643</v>
      </c>
      <c r="I144" s="1" t="s">
        <v>250</v>
      </c>
      <c r="J144" s="1" t="str">
        <f t="shared" si="1"/>
        <v>Non-Compliant</v>
      </c>
      <c r="K144" s="1" t="str">
        <f t="shared" si="2"/>
        <v>Non-Incentive</v>
      </c>
      <c r="L144" s="1" t="str">
        <f t="shared" si="3"/>
        <v>TUG</v>
      </c>
      <c r="M144" s="1">
        <f t="shared" si="4"/>
        <v>3</v>
      </c>
      <c r="N144" s="1">
        <f t="shared" si="5"/>
        <v>2017</v>
      </c>
    </row>
    <row r="145" ht="15.75" customHeight="1">
      <c r="A145" s="1" t="s">
        <v>14</v>
      </c>
      <c r="B145" s="1">
        <v>8513208.0</v>
      </c>
      <c r="C145" s="1" t="s">
        <v>639</v>
      </c>
      <c r="D145" s="1" t="s">
        <v>644</v>
      </c>
      <c r="E145" s="1" t="s">
        <v>645</v>
      </c>
      <c r="F145" s="1" t="s">
        <v>646</v>
      </c>
      <c r="G145" s="1" t="s">
        <v>19</v>
      </c>
      <c r="H145" s="1" t="s">
        <v>647</v>
      </c>
      <c r="I145" s="1" t="s">
        <v>648</v>
      </c>
      <c r="J145" s="1" t="str">
        <f t="shared" si="1"/>
        <v>Non-Compliant</v>
      </c>
      <c r="K145" s="1" t="str">
        <f t="shared" si="2"/>
        <v>Non-Incentive</v>
      </c>
      <c r="L145" s="1" t="str">
        <f t="shared" si="3"/>
        <v>TUG</v>
      </c>
      <c r="M145" s="1">
        <f t="shared" si="4"/>
        <v>3</v>
      </c>
      <c r="N145" s="1">
        <f t="shared" si="5"/>
        <v>2017</v>
      </c>
    </row>
    <row r="146" ht="15.75" customHeight="1">
      <c r="A146" s="1" t="s">
        <v>14</v>
      </c>
      <c r="B146" s="1">
        <v>8528718.0</v>
      </c>
      <c r="C146" s="1" t="s">
        <v>649</v>
      </c>
      <c r="D146" s="1" t="s">
        <v>650</v>
      </c>
      <c r="E146" s="1" t="s">
        <v>651</v>
      </c>
      <c r="F146" s="1" t="s">
        <v>652</v>
      </c>
      <c r="G146" s="1" t="s">
        <v>37</v>
      </c>
      <c r="H146" s="1" t="s">
        <v>653</v>
      </c>
      <c r="I146" s="1" t="s">
        <v>431</v>
      </c>
      <c r="J146" s="1" t="str">
        <f t="shared" si="1"/>
        <v>Non-Compliant</v>
      </c>
      <c r="K146" s="1" t="str">
        <f t="shared" si="2"/>
        <v>Non-Incentive</v>
      </c>
      <c r="L146" s="1" t="str">
        <f t="shared" si="3"/>
        <v>TUG</v>
      </c>
      <c r="M146" s="1">
        <f t="shared" si="4"/>
        <v>3</v>
      </c>
      <c r="N146" s="1">
        <f t="shared" si="5"/>
        <v>2017</v>
      </c>
    </row>
    <row r="147" ht="15.75" customHeight="1">
      <c r="A147" s="1" t="s">
        <v>14</v>
      </c>
      <c r="B147" s="1">
        <v>8533887.0</v>
      </c>
      <c r="C147" s="1" t="s">
        <v>649</v>
      </c>
      <c r="D147" s="1" t="s">
        <v>654</v>
      </c>
      <c r="E147" s="1" t="s">
        <v>641</v>
      </c>
      <c r="F147" s="1" t="s">
        <v>655</v>
      </c>
      <c r="G147" s="1" t="s">
        <v>19</v>
      </c>
      <c r="H147" s="1" t="s">
        <v>656</v>
      </c>
      <c r="I147" s="1" t="s">
        <v>657</v>
      </c>
      <c r="J147" s="1" t="str">
        <f t="shared" si="1"/>
        <v>Non-Compliant</v>
      </c>
      <c r="K147" s="1" t="str">
        <f t="shared" si="2"/>
        <v>Non-Incentive</v>
      </c>
      <c r="L147" s="1" t="str">
        <f t="shared" si="3"/>
        <v>TUG</v>
      </c>
      <c r="M147" s="1">
        <f t="shared" si="4"/>
        <v>3</v>
      </c>
      <c r="N147" s="1">
        <f t="shared" si="5"/>
        <v>2017</v>
      </c>
    </row>
    <row r="148" ht="15.75" customHeight="1">
      <c r="A148" s="1" t="s">
        <v>14</v>
      </c>
      <c r="B148" s="1">
        <v>8551635.0</v>
      </c>
      <c r="C148" s="1" t="s">
        <v>658</v>
      </c>
      <c r="D148" s="1" t="s">
        <v>659</v>
      </c>
      <c r="E148" s="1" t="s">
        <v>660</v>
      </c>
      <c r="F148" s="1" t="s">
        <v>661</v>
      </c>
      <c r="G148" s="1" t="s">
        <v>37</v>
      </c>
      <c r="H148" s="1" t="s">
        <v>662</v>
      </c>
      <c r="I148" s="1" t="s">
        <v>32</v>
      </c>
      <c r="J148" s="1" t="str">
        <f t="shared" si="1"/>
        <v>Non-Compliant</v>
      </c>
      <c r="K148" s="1" t="str">
        <f t="shared" si="2"/>
        <v>Non-Incentive</v>
      </c>
      <c r="L148" s="1" t="str">
        <f t="shared" si="3"/>
        <v>TUG</v>
      </c>
      <c r="M148" s="1">
        <f t="shared" si="4"/>
        <v>3</v>
      </c>
      <c r="N148" s="1">
        <f t="shared" si="5"/>
        <v>2017</v>
      </c>
    </row>
    <row r="149" ht="15.75" customHeight="1">
      <c r="A149" s="1" t="s">
        <v>14</v>
      </c>
      <c r="B149" s="1">
        <v>8576060.0</v>
      </c>
      <c r="C149" s="1" t="s">
        <v>663</v>
      </c>
      <c r="D149" s="1" t="s">
        <v>664</v>
      </c>
      <c r="E149" s="1" t="s">
        <v>665</v>
      </c>
      <c r="F149" s="1" t="s">
        <v>666</v>
      </c>
      <c r="G149" s="1" t="s">
        <v>19</v>
      </c>
      <c r="H149" s="1" t="s">
        <v>667</v>
      </c>
      <c r="I149" s="1" t="s">
        <v>668</v>
      </c>
      <c r="J149" s="1" t="str">
        <f t="shared" si="1"/>
        <v>Non-Compliant</v>
      </c>
      <c r="K149" s="1" t="str">
        <f t="shared" si="2"/>
        <v>Non-Incentive</v>
      </c>
      <c r="L149" s="1" t="str">
        <f t="shared" si="3"/>
        <v>TUG</v>
      </c>
      <c r="M149" s="1">
        <f t="shared" si="4"/>
        <v>3</v>
      </c>
      <c r="N149" s="1">
        <f t="shared" si="5"/>
        <v>2017</v>
      </c>
    </row>
    <row r="150" ht="15.75" customHeight="1">
      <c r="A150" s="1" t="s">
        <v>14</v>
      </c>
      <c r="B150" s="1">
        <v>8579468.0</v>
      </c>
      <c r="C150" s="1" t="s">
        <v>663</v>
      </c>
      <c r="D150" s="1" t="s">
        <v>669</v>
      </c>
      <c r="E150" s="1" t="s">
        <v>670</v>
      </c>
      <c r="F150" s="1" t="s">
        <v>671</v>
      </c>
      <c r="G150" s="1" t="s">
        <v>19</v>
      </c>
      <c r="H150" s="1" t="s">
        <v>672</v>
      </c>
      <c r="I150" s="1" t="s">
        <v>673</v>
      </c>
      <c r="J150" s="1" t="str">
        <f t="shared" si="1"/>
        <v>Non-Compliant</v>
      </c>
      <c r="K150" s="1" t="str">
        <f t="shared" si="2"/>
        <v>Non-Incentive</v>
      </c>
      <c r="L150" s="1" t="str">
        <f t="shared" si="3"/>
        <v>TUG</v>
      </c>
      <c r="M150" s="1">
        <f t="shared" si="4"/>
        <v>3</v>
      </c>
      <c r="N150" s="1">
        <f t="shared" si="5"/>
        <v>2017</v>
      </c>
    </row>
    <row r="151" ht="15.75" customHeight="1">
      <c r="A151" s="1" t="s">
        <v>14</v>
      </c>
      <c r="B151" s="1">
        <v>8581999.0</v>
      </c>
      <c r="C151" s="1" t="s">
        <v>663</v>
      </c>
      <c r="D151" s="1" t="s">
        <v>674</v>
      </c>
      <c r="E151" s="1" t="s">
        <v>675</v>
      </c>
      <c r="F151" s="1" t="s">
        <v>676</v>
      </c>
      <c r="G151" s="1" t="s">
        <v>19</v>
      </c>
      <c r="H151" s="1" t="s">
        <v>677</v>
      </c>
      <c r="I151" s="1" t="s">
        <v>678</v>
      </c>
      <c r="J151" s="1" t="str">
        <f t="shared" si="1"/>
        <v>Non-Compliant</v>
      </c>
      <c r="K151" s="1" t="str">
        <f t="shared" si="2"/>
        <v>Non-Incentive</v>
      </c>
      <c r="L151" s="1" t="str">
        <f t="shared" si="3"/>
        <v>TUG</v>
      </c>
      <c r="M151" s="1">
        <f t="shared" si="4"/>
        <v>3</v>
      </c>
      <c r="N151" s="1">
        <f t="shared" si="5"/>
        <v>2017</v>
      </c>
    </row>
    <row r="152" ht="15.75" customHeight="1">
      <c r="A152" s="1" t="s">
        <v>14</v>
      </c>
      <c r="B152" s="1">
        <v>8584007.0</v>
      </c>
      <c r="C152" s="1" t="s">
        <v>663</v>
      </c>
      <c r="D152" s="1" t="s">
        <v>679</v>
      </c>
      <c r="E152" s="1" t="s">
        <v>680</v>
      </c>
      <c r="F152" s="1" t="s">
        <v>661</v>
      </c>
      <c r="G152" s="1" t="s">
        <v>19</v>
      </c>
      <c r="H152" s="1" t="s">
        <v>681</v>
      </c>
      <c r="I152" s="1" t="s">
        <v>682</v>
      </c>
      <c r="J152" s="1" t="str">
        <f t="shared" si="1"/>
        <v>Non-Compliant</v>
      </c>
      <c r="K152" s="1" t="str">
        <f t="shared" si="2"/>
        <v>Non-Incentive</v>
      </c>
      <c r="L152" s="1" t="str">
        <f t="shared" si="3"/>
        <v>TUG</v>
      </c>
      <c r="M152" s="1">
        <f t="shared" si="4"/>
        <v>3</v>
      </c>
      <c r="N152" s="1">
        <f t="shared" si="5"/>
        <v>2017</v>
      </c>
    </row>
    <row r="153" ht="15.75" customHeight="1">
      <c r="A153" s="1" t="s">
        <v>14</v>
      </c>
      <c r="B153" s="1">
        <v>8584704.0</v>
      </c>
      <c r="C153" s="1" t="s">
        <v>663</v>
      </c>
      <c r="D153" s="1" t="s">
        <v>683</v>
      </c>
      <c r="E153" s="1" t="s">
        <v>568</v>
      </c>
      <c r="F153" s="1" t="s">
        <v>684</v>
      </c>
      <c r="G153" s="1" t="s">
        <v>37</v>
      </c>
      <c r="H153" s="1" t="s">
        <v>685</v>
      </c>
      <c r="I153" s="1" t="s">
        <v>686</v>
      </c>
      <c r="J153" s="1" t="str">
        <f t="shared" si="1"/>
        <v>Non-Compliant</v>
      </c>
      <c r="K153" s="1" t="str">
        <f t="shared" si="2"/>
        <v>Non-Incentive</v>
      </c>
      <c r="L153" s="1" t="str">
        <f t="shared" si="3"/>
        <v>TUG</v>
      </c>
      <c r="M153" s="1">
        <f t="shared" si="4"/>
        <v>3</v>
      </c>
      <c r="N153" s="1">
        <f t="shared" si="5"/>
        <v>2017</v>
      </c>
    </row>
    <row r="154" ht="15.75" customHeight="1">
      <c r="A154" s="1" t="s">
        <v>14</v>
      </c>
      <c r="B154" s="1">
        <v>8600398.0</v>
      </c>
      <c r="C154" s="1" t="s">
        <v>687</v>
      </c>
      <c r="D154" s="1" t="s">
        <v>688</v>
      </c>
      <c r="E154" s="1" t="s">
        <v>665</v>
      </c>
      <c r="F154" s="1" t="s">
        <v>661</v>
      </c>
      <c r="G154" s="1" t="s">
        <v>19</v>
      </c>
      <c r="H154" s="1" t="s">
        <v>689</v>
      </c>
      <c r="I154" s="1" t="s">
        <v>32</v>
      </c>
      <c r="J154" s="1" t="str">
        <f t="shared" si="1"/>
        <v>Non-Compliant</v>
      </c>
      <c r="K154" s="1" t="str">
        <f t="shared" si="2"/>
        <v>Non-Incentive</v>
      </c>
      <c r="L154" s="1" t="str">
        <f t="shared" si="3"/>
        <v>TUG</v>
      </c>
      <c r="M154" s="1">
        <f t="shared" si="4"/>
        <v>3</v>
      </c>
      <c r="N154" s="1">
        <f t="shared" si="5"/>
        <v>2017</v>
      </c>
    </row>
    <row r="155" ht="15.75" customHeight="1">
      <c r="A155" s="1" t="s">
        <v>14</v>
      </c>
      <c r="B155" s="1">
        <v>8602587.0</v>
      </c>
      <c r="C155" s="1" t="s">
        <v>687</v>
      </c>
      <c r="D155" s="1" t="s">
        <v>690</v>
      </c>
      <c r="E155" s="1" t="s">
        <v>691</v>
      </c>
      <c r="F155" s="1" t="s">
        <v>692</v>
      </c>
      <c r="G155" s="1" t="s">
        <v>19</v>
      </c>
      <c r="H155" s="1" t="s">
        <v>693</v>
      </c>
      <c r="I155" s="1" t="s">
        <v>694</v>
      </c>
      <c r="J155" s="1" t="str">
        <f t="shared" si="1"/>
        <v>Non-Compliant</v>
      </c>
      <c r="K155" s="1" t="str">
        <f t="shared" si="2"/>
        <v>Non-Incentive</v>
      </c>
      <c r="L155" s="1" t="str">
        <f t="shared" si="3"/>
        <v>TUG</v>
      </c>
      <c r="M155" s="1">
        <f t="shared" si="4"/>
        <v>3</v>
      </c>
      <c r="N155" s="1">
        <f t="shared" si="5"/>
        <v>2017</v>
      </c>
    </row>
    <row r="156" ht="15.75" customHeight="1">
      <c r="A156" s="1" t="s">
        <v>14</v>
      </c>
      <c r="B156" s="1">
        <v>8605254.0</v>
      </c>
      <c r="C156" s="1" t="s">
        <v>687</v>
      </c>
      <c r="D156" s="1" t="s">
        <v>695</v>
      </c>
      <c r="E156" s="1" t="s">
        <v>651</v>
      </c>
      <c r="F156" s="1" t="s">
        <v>696</v>
      </c>
      <c r="G156" s="1" t="s">
        <v>37</v>
      </c>
      <c r="H156" s="1" t="s">
        <v>697</v>
      </c>
      <c r="I156" s="1" t="s">
        <v>698</v>
      </c>
      <c r="J156" s="1" t="str">
        <f t="shared" si="1"/>
        <v>Non-Compliant</v>
      </c>
      <c r="K156" s="1" t="str">
        <f t="shared" si="2"/>
        <v>Non-Incentive</v>
      </c>
      <c r="L156" s="1" t="str">
        <f t="shared" si="3"/>
        <v>TUG</v>
      </c>
      <c r="M156" s="1">
        <f t="shared" si="4"/>
        <v>3</v>
      </c>
      <c r="N156" s="1">
        <f t="shared" si="5"/>
        <v>2017</v>
      </c>
    </row>
    <row r="157" ht="15.75" customHeight="1">
      <c r="A157" s="1" t="s">
        <v>14</v>
      </c>
      <c r="B157" s="1">
        <v>8607213.0</v>
      </c>
      <c r="C157" s="1" t="s">
        <v>687</v>
      </c>
      <c r="D157" s="1" t="s">
        <v>699</v>
      </c>
      <c r="E157" s="1" t="s">
        <v>700</v>
      </c>
      <c r="F157" s="1" t="s">
        <v>701</v>
      </c>
      <c r="G157" s="1" t="s">
        <v>19</v>
      </c>
      <c r="H157" s="1" t="s">
        <v>702</v>
      </c>
      <c r="I157" s="1" t="s">
        <v>703</v>
      </c>
      <c r="J157" s="1" t="str">
        <f t="shared" si="1"/>
        <v>Non-Compliant</v>
      </c>
      <c r="K157" s="1" t="str">
        <f t="shared" si="2"/>
        <v>Non-Incentive</v>
      </c>
      <c r="L157" s="1" t="str">
        <f t="shared" si="3"/>
        <v>TUG</v>
      </c>
      <c r="M157" s="1">
        <f t="shared" si="4"/>
        <v>3</v>
      </c>
      <c r="N157" s="1">
        <f t="shared" si="5"/>
        <v>2017</v>
      </c>
    </row>
    <row r="158" ht="15.75" customHeight="1">
      <c r="A158" s="1" t="s">
        <v>14</v>
      </c>
      <c r="B158" s="1">
        <v>8607674.0</v>
      </c>
      <c r="C158" s="1" t="s">
        <v>687</v>
      </c>
      <c r="D158" s="1" t="s">
        <v>704</v>
      </c>
      <c r="E158" s="1" t="s">
        <v>705</v>
      </c>
      <c r="F158" s="1" t="s">
        <v>706</v>
      </c>
      <c r="G158" s="1" t="s">
        <v>19</v>
      </c>
      <c r="H158" s="1" t="s">
        <v>707</v>
      </c>
      <c r="I158" s="1" t="s">
        <v>32</v>
      </c>
      <c r="J158" s="1" t="str">
        <f t="shared" si="1"/>
        <v>Non-Compliant</v>
      </c>
      <c r="K158" s="1" t="str">
        <f t="shared" si="2"/>
        <v>Non-Incentive</v>
      </c>
      <c r="L158" s="1" t="str">
        <f t="shared" si="3"/>
        <v>TUG</v>
      </c>
      <c r="M158" s="1">
        <f t="shared" si="4"/>
        <v>3</v>
      </c>
      <c r="N158" s="1">
        <f t="shared" si="5"/>
        <v>2017</v>
      </c>
    </row>
    <row r="159" ht="15.75" customHeight="1">
      <c r="A159" s="1" t="s">
        <v>14</v>
      </c>
      <c r="B159" s="1">
        <v>8608392.0</v>
      </c>
      <c r="C159" s="1" t="s">
        <v>687</v>
      </c>
      <c r="D159" s="1" t="s">
        <v>708</v>
      </c>
      <c r="E159" s="1" t="s">
        <v>670</v>
      </c>
      <c r="F159" s="1" t="s">
        <v>709</v>
      </c>
      <c r="G159" s="1" t="s">
        <v>710</v>
      </c>
      <c r="H159" s="1" t="s">
        <v>711</v>
      </c>
      <c r="I159" s="1" t="s">
        <v>712</v>
      </c>
      <c r="J159" s="1" t="str">
        <f t="shared" si="1"/>
        <v>Non-Compliant</v>
      </c>
      <c r="K159" s="1" t="str">
        <f t="shared" si="2"/>
        <v>Non-Incentive</v>
      </c>
      <c r="L159" s="1" t="str">
        <f t="shared" si="3"/>
        <v>TUG</v>
      </c>
      <c r="M159" s="1">
        <f t="shared" si="4"/>
        <v>3</v>
      </c>
      <c r="N159" s="1">
        <f t="shared" si="5"/>
        <v>2017</v>
      </c>
    </row>
    <row r="160" ht="15.75" customHeight="1">
      <c r="A160" s="1" t="s">
        <v>14</v>
      </c>
      <c r="B160" s="1">
        <v>8608445.0</v>
      </c>
      <c r="C160" s="1" t="s">
        <v>687</v>
      </c>
      <c r="D160" s="1" t="s">
        <v>713</v>
      </c>
      <c r="E160" s="1" t="s">
        <v>670</v>
      </c>
      <c r="F160" s="1" t="s">
        <v>714</v>
      </c>
      <c r="G160" s="1" t="s">
        <v>715</v>
      </c>
      <c r="H160" s="1" t="s">
        <v>716</v>
      </c>
      <c r="I160" s="1" t="s">
        <v>712</v>
      </c>
      <c r="J160" s="1" t="str">
        <f t="shared" si="1"/>
        <v>Non-Compliant</v>
      </c>
      <c r="K160" s="1" t="str">
        <f t="shared" si="2"/>
        <v>Non-Incentive</v>
      </c>
      <c r="L160" s="1" t="str">
        <f t="shared" si="3"/>
        <v>TUG</v>
      </c>
      <c r="M160" s="1">
        <f t="shared" si="4"/>
        <v>3</v>
      </c>
      <c r="N160" s="1">
        <f t="shared" si="5"/>
        <v>2017</v>
      </c>
    </row>
    <row r="161" ht="15.75" customHeight="1">
      <c r="A161" s="1" t="s">
        <v>14</v>
      </c>
      <c r="B161" s="1">
        <v>8608455.0</v>
      </c>
      <c r="C161" s="1" t="s">
        <v>687</v>
      </c>
      <c r="D161" s="1" t="s">
        <v>717</v>
      </c>
      <c r="E161" s="1" t="s">
        <v>670</v>
      </c>
      <c r="F161" s="1" t="s">
        <v>709</v>
      </c>
      <c r="G161" s="1" t="s">
        <v>710</v>
      </c>
      <c r="H161" s="1" t="s">
        <v>711</v>
      </c>
      <c r="I161" s="1" t="s">
        <v>712</v>
      </c>
      <c r="J161" s="1" t="str">
        <f t="shared" si="1"/>
        <v>Non-Compliant</v>
      </c>
      <c r="K161" s="1" t="str">
        <f t="shared" si="2"/>
        <v>Non-Incentive</v>
      </c>
      <c r="L161" s="1" t="str">
        <f t="shared" si="3"/>
        <v>TUG</v>
      </c>
      <c r="M161" s="1">
        <f t="shared" si="4"/>
        <v>3</v>
      </c>
      <c r="N161" s="1">
        <f t="shared" si="5"/>
        <v>2017</v>
      </c>
    </row>
    <row r="162" ht="15.75" customHeight="1">
      <c r="A162" s="1" t="s">
        <v>14</v>
      </c>
      <c r="B162" s="1">
        <v>8608463.0</v>
      </c>
      <c r="C162" s="1" t="s">
        <v>687</v>
      </c>
      <c r="D162" s="1" t="s">
        <v>718</v>
      </c>
      <c r="E162" s="1" t="s">
        <v>670</v>
      </c>
      <c r="F162" s="1" t="s">
        <v>714</v>
      </c>
      <c r="G162" s="1" t="s">
        <v>715</v>
      </c>
      <c r="H162" s="1" t="s">
        <v>716</v>
      </c>
      <c r="I162" s="1" t="s">
        <v>712</v>
      </c>
      <c r="J162" s="1" t="str">
        <f t="shared" si="1"/>
        <v>Non-Compliant</v>
      </c>
      <c r="K162" s="1" t="str">
        <f t="shared" si="2"/>
        <v>Non-Incentive</v>
      </c>
      <c r="L162" s="1" t="str">
        <f t="shared" si="3"/>
        <v>TUG</v>
      </c>
      <c r="M162" s="1">
        <f t="shared" si="4"/>
        <v>3</v>
      </c>
      <c r="N162" s="1">
        <f t="shared" si="5"/>
        <v>2017</v>
      </c>
    </row>
    <row r="163" ht="15.75" customHeight="1">
      <c r="A163" s="1" t="s">
        <v>14</v>
      </c>
      <c r="B163" s="1">
        <v>8608521.0</v>
      </c>
      <c r="C163" s="1" t="s">
        <v>687</v>
      </c>
      <c r="D163" s="1" t="s">
        <v>719</v>
      </c>
      <c r="E163" s="1" t="s">
        <v>670</v>
      </c>
      <c r="F163" s="1" t="s">
        <v>714</v>
      </c>
      <c r="G163" s="1" t="s">
        <v>710</v>
      </c>
      <c r="H163" s="1" t="s">
        <v>711</v>
      </c>
      <c r="I163" s="1" t="s">
        <v>712</v>
      </c>
      <c r="J163" s="1" t="str">
        <f t="shared" si="1"/>
        <v>Non-Compliant</v>
      </c>
      <c r="K163" s="1" t="str">
        <f t="shared" si="2"/>
        <v>Non-Incentive</v>
      </c>
      <c r="L163" s="1" t="str">
        <f t="shared" si="3"/>
        <v>TUG</v>
      </c>
      <c r="M163" s="1">
        <f t="shared" si="4"/>
        <v>3</v>
      </c>
      <c r="N163" s="1">
        <f t="shared" si="5"/>
        <v>2017</v>
      </c>
    </row>
    <row r="164" ht="15.75" customHeight="1">
      <c r="A164" s="1" t="s">
        <v>14</v>
      </c>
      <c r="B164" s="1">
        <v>8610604.0</v>
      </c>
      <c r="C164" s="1" t="s">
        <v>687</v>
      </c>
      <c r="D164" s="1" t="s">
        <v>720</v>
      </c>
      <c r="E164" s="1" t="s">
        <v>721</v>
      </c>
      <c r="F164" s="1" t="s">
        <v>722</v>
      </c>
      <c r="G164" s="1" t="s">
        <v>19</v>
      </c>
      <c r="H164" s="1" t="s">
        <v>723</v>
      </c>
      <c r="I164" s="1" t="s">
        <v>724</v>
      </c>
      <c r="J164" s="1" t="str">
        <f t="shared" si="1"/>
        <v>Non-Compliant</v>
      </c>
      <c r="K164" s="1" t="str">
        <f t="shared" si="2"/>
        <v>Non-Incentive</v>
      </c>
      <c r="L164" s="1" t="str">
        <f t="shared" si="3"/>
        <v>TUG</v>
      </c>
      <c r="M164" s="1">
        <f t="shared" si="4"/>
        <v>3</v>
      </c>
      <c r="N164" s="1">
        <f t="shared" si="5"/>
        <v>2017</v>
      </c>
    </row>
    <row r="165" ht="15.75" customHeight="1">
      <c r="A165" s="1" t="s">
        <v>14</v>
      </c>
      <c r="B165" s="1">
        <v>8612296.0</v>
      </c>
      <c r="C165" s="1" t="s">
        <v>687</v>
      </c>
      <c r="D165" s="1" t="s">
        <v>725</v>
      </c>
      <c r="E165" s="1" t="s">
        <v>651</v>
      </c>
      <c r="F165" s="1" t="s">
        <v>726</v>
      </c>
      <c r="G165" s="1" t="s">
        <v>37</v>
      </c>
      <c r="H165" s="1" t="s">
        <v>727</v>
      </c>
      <c r="I165" s="1" t="s">
        <v>682</v>
      </c>
      <c r="J165" s="1" t="str">
        <f t="shared" si="1"/>
        <v>Non-Compliant</v>
      </c>
      <c r="K165" s="1" t="str">
        <f t="shared" si="2"/>
        <v>Non-Incentive</v>
      </c>
      <c r="L165" s="1" t="str">
        <f t="shared" si="3"/>
        <v>TUG</v>
      </c>
      <c r="M165" s="1">
        <f t="shared" si="4"/>
        <v>3</v>
      </c>
      <c r="N165" s="1">
        <f t="shared" si="5"/>
        <v>2017</v>
      </c>
    </row>
    <row r="166" ht="15.75" customHeight="1">
      <c r="A166" s="1" t="s">
        <v>14</v>
      </c>
      <c r="B166" s="1">
        <v>8615986.0</v>
      </c>
      <c r="C166" s="1" t="s">
        <v>687</v>
      </c>
      <c r="D166" s="1" t="s">
        <v>728</v>
      </c>
      <c r="E166" s="1" t="s">
        <v>729</v>
      </c>
      <c r="F166" s="1" t="s">
        <v>730</v>
      </c>
      <c r="G166" s="1" t="s">
        <v>19</v>
      </c>
      <c r="H166" s="1" t="s">
        <v>731</v>
      </c>
      <c r="I166" s="1" t="s">
        <v>732</v>
      </c>
      <c r="J166" s="1" t="str">
        <f t="shared" si="1"/>
        <v>Non-Compliant</v>
      </c>
      <c r="K166" s="1" t="str">
        <f t="shared" si="2"/>
        <v>Non-Incentive</v>
      </c>
      <c r="L166" s="1" t="str">
        <f t="shared" si="3"/>
        <v>TUG</v>
      </c>
      <c r="M166" s="1">
        <f t="shared" si="4"/>
        <v>3</v>
      </c>
      <c r="N166" s="1">
        <f t="shared" si="5"/>
        <v>2017</v>
      </c>
    </row>
    <row r="167" ht="15.75" customHeight="1">
      <c r="A167" s="1" t="s">
        <v>14</v>
      </c>
      <c r="B167" s="1">
        <v>8620347.0</v>
      </c>
      <c r="C167" s="1" t="s">
        <v>733</v>
      </c>
      <c r="D167" s="1" t="s">
        <v>734</v>
      </c>
      <c r="E167" s="1" t="s">
        <v>675</v>
      </c>
      <c r="F167" s="1" t="s">
        <v>684</v>
      </c>
      <c r="G167" s="1" t="s">
        <v>19</v>
      </c>
      <c r="H167" s="1" t="s">
        <v>735</v>
      </c>
      <c r="I167" s="1" t="s">
        <v>686</v>
      </c>
      <c r="J167" s="1" t="str">
        <f t="shared" si="1"/>
        <v>Non-Compliant</v>
      </c>
      <c r="K167" s="1" t="str">
        <f t="shared" si="2"/>
        <v>Non-Incentive</v>
      </c>
      <c r="L167" s="1" t="str">
        <f t="shared" si="3"/>
        <v>TUG</v>
      </c>
      <c r="M167" s="1">
        <f t="shared" si="4"/>
        <v>3</v>
      </c>
      <c r="N167" s="1">
        <f t="shared" si="5"/>
        <v>2017</v>
      </c>
    </row>
    <row r="168" ht="15.75" customHeight="1">
      <c r="A168" s="1" t="s">
        <v>14</v>
      </c>
      <c r="B168" s="1">
        <v>8660236.0</v>
      </c>
      <c r="C168" s="1" t="s">
        <v>736</v>
      </c>
      <c r="D168" s="1" t="s">
        <v>737</v>
      </c>
      <c r="E168" s="1" t="s">
        <v>738</v>
      </c>
      <c r="F168" s="1" t="s">
        <v>739</v>
      </c>
      <c r="G168" s="1" t="s">
        <v>19</v>
      </c>
      <c r="H168" s="1" t="s">
        <v>740</v>
      </c>
      <c r="I168" s="1" t="s">
        <v>741</v>
      </c>
      <c r="J168" s="1" t="str">
        <f t="shared" si="1"/>
        <v>Non-Compliant</v>
      </c>
      <c r="K168" s="1" t="str">
        <f t="shared" si="2"/>
        <v>Non-Incentive</v>
      </c>
      <c r="L168" s="1" t="str">
        <f t="shared" si="3"/>
        <v>TUG</v>
      </c>
      <c r="M168" s="1">
        <f t="shared" si="4"/>
        <v>3</v>
      </c>
      <c r="N168" s="1">
        <f t="shared" si="5"/>
        <v>2017</v>
      </c>
    </row>
    <row r="169" ht="15.75" customHeight="1">
      <c r="A169" s="1" t="s">
        <v>14</v>
      </c>
      <c r="B169" s="1">
        <v>8661641.0</v>
      </c>
      <c r="C169" s="1" t="s">
        <v>736</v>
      </c>
      <c r="D169" s="1" t="s">
        <v>742</v>
      </c>
      <c r="E169" s="1" t="s">
        <v>743</v>
      </c>
      <c r="F169" s="1" t="s">
        <v>744</v>
      </c>
      <c r="G169" s="1" t="s">
        <v>37</v>
      </c>
      <c r="H169" s="1" t="s">
        <v>745</v>
      </c>
      <c r="I169" s="1" t="s">
        <v>746</v>
      </c>
      <c r="J169" s="1" t="str">
        <f t="shared" si="1"/>
        <v>Non-Compliant</v>
      </c>
      <c r="K169" s="1" t="str">
        <f t="shared" si="2"/>
        <v>Non-Incentive</v>
      </c>
      <c r="L169" s="1" t="str">
        <f t="shared" si="3"/>
        <v>TUG</v>
      </c>
      <c r="M169" s="1">
        <f t="shared" si="4"/>
        <v>3</v>
      </c>
      <c r="N169" s="1">
        <f t="shared" si="5"/>
        <v>2017</v>
      </c>
    </row>
    <row r="170" ht="15.75" customHeight="1">
      <c r="A170" s="1" t="s">
        <v>14</v>
      </c>
      <c r="B170" s="1">
        <v>8687607.0</v>
      </c>
      <c r="C170" s="1" t="s">
        <v>747</v>
      </c>
      <c r="D170" s="1" t="s">
        <v>748</v>
      </c>
      <c r="E170" s="1" t="s">
        <v>749</v>
      </c>
      <c r="F170" s="1" t="s">
        <v>750</v>
      </c>
      <c r="G170" s="1" t="s">
        <v>19</v>
      </c>
      <c r="H170" s="1" t="s">
        <v>751</v>
      </c>
      <c r="I170" s="1" t="s">
        <v>752</v>
      </c>
      <c r="J170" s="1" t="str">
        <f t="shared" si="1"/>
        <v>Non-Compliant</v>
      </c>
      <c r="K170" s="1" t="str">
        <f t="shared" si="2"/>
        <v>Non-Incentive</v>
      </c>
      <c r="L170" s="1" t="str">
        <f t="shared" si="3"/>
        <v>TUG</v>
      </c>
      <c r="M170" s="1">
        <f t="shared" si="4"/>
        <v>3</v>
      </c>
      <c r="N170" s="1">
        <f t="shared" si="5"/>
        <v>2017</v>
      </c>
    </row>
    <row r="171" ht="15.75" customHeight="1">
      <c r="A171" s="1" t="s">
        <v>14</v>
      </c>
      <c r="B171" s="1">
        <v>8697591.0</v>
      </c>
      <c r="C171" s="1" t="s">
        <v>753</v>
      </c>
      <c r="D171" s="1" t="s">
        <v>754</v>
      </c>
      <c r="E171" s="1" t="s">
        <v>755</v>
      </c>
      <c r="F171" s="1" t="s">
        <v>756</v>
      </c>
      <c r="G171" s="1" t="s">
        <v>37</v>
      </c>
      <c r="H171" s="1" t="s">
        <v>757</v>
      </c>
      <c r="I171" s="1" t="s">
        <v>250</v>
      </c>
      <c r="J171" s="1" t="str">
        <f t="shared" si="1"/>
        <v>Non-Compliant</v>
      </c>
      <c r="K171" s="1" t="str">
        <f t="shared" si="2"/>
        <v>Non-Incentive</v>
      </c>
      <c r="L171" s="1" t="str">
        <f t="shared" si="3"/>
        <v>TUG</v>
      </c>
      <c r="M171" s="1">
        <f t="shared" si="4"/>
        <v>3</v>
      </c>
      <c r="N171" s="1">
        <f t="shared" si="5"/>
        <v>2017</v>
      </c>
    </row>
    <row r="172" ht="15.75" customHeight="1">
      <c r="A172" s="1" t="s">
        <v>14</v>
      </c>
      <c r="B172" s="1">
        <v>8708114.0</v>
      </c>
      <c r="C172" s="1" t="s">
        <v>753</v>
      </c>
      <c r="D172" s="1" t="s">
        <v>758</v>
      </c>
      <c r="E172" s="1" t="s">
        <v>759</v>
      </c>
      <c r="F172" s="1" t="s">
        <v>760</v>
      </c>
      <c r="G172" s="1" t="s">
        <v>37</v>
      </c>
      <c r="H172" s="1" t="s">
        <v>761</v>
      </c>
      <c r="I172" s="1" t="s">
        <v>762</v>
      </c>
      <c r="J172" s="1" t="str">
        <f t="shared" si="1"/>
        <v>Non-Compliant</v>
      </c>
      <c r="K172" s="1" t="str">
        <f t="shared" si="2"/>
        <v>Non-Incentive</v>
      </c>
      <c r="L172" s="1" t="str">
        <f t="shared" si="3"/>
        <v>TUG</v>
      </c>
      <c r="M172" s="1">
        <f t="shared" si="4"/>
        <v>3</v>
      </c>
      <c r="N172" s="1">
        <f t="shared" si="5"/>
        <v>2017</v>
      </c>
    </row>
    <row r="173" ht="15.75" customHeight="1">
      <c r="A173" s="1" t="s">
        <v>14</v>
      </c>
      <c r="B173" s="1">
        <v>8709897.0</v>
      </c>
      <c r="C173" s="1" t="s">
        <v>753</v>
      </c>
      <c r="D173" s="1" t="s">
        <v>763</v>
      </c>
      <c r="E173" s="1" t="s">
        <v>764</v>
      </c>
      <c r="F173" s="1" t="s">
        <v>765</v>
      </c>
      <c r="G173" s="1" t="s">
        <v>19</v>
      </c>
      <c r="H173" s="1" t="s">
        <v>766</v>
      </c>
      <c r="I173" s="1" t="s">
        <v>767</v>
      </c>
      <c r="J173" s="1" t="str">
        <f t="shared" si="1"/>
        <v>Non-Compliant</v>
      </c>
      <c r="K173" s="1" t="str">
        <f t="shared" si="2"/>
        <v>Non-Incentive</v>
      </c>
      <c r="L173" s="1" t="str">
        <f t="shared" si="3"/>
        <v>TUG</v>
      </c>
      <c r="M173" s="1">
        <f t="shared" si="4"/>
        <v>3</v>
      </c>
      <c r="N173" s="1">
        <f t="shared" si="5"/>
        <v>2017</v>
      </c>
    </row>
    <row r="174" ht="15.75" customHeight="1">
      <c r="A174" s="1" t="s">
        <v>14</v>
      </c>
      <c r="B174" s="1">
        <v>8749638.0</v>
      </c>
      <c r="C174" s="1" t="s">
        <v>768</v>
      </c>
      <c r="D174" s="1" t="s">
        <v>769</v>
      </c>
      <c r="E174" s="1" t="s">
        <v>770</v>
      </c>
      <c r="F174" s="1" t="s">
        <v>771</v>
      </c>
      <c r="G174" s="1" t="s">
        <v>19</v>
      </c>
      <c r="H174" s="1" t="s">
        <v>772</v>
      </c>
      <c r="I174" s="1" t="s">
        <v>773</v>
      </c>
      <c r="J174" s="1" t="str">
        <f t="shared" si="1"/>
        <v>Non-Compliant</v>
      </c>
      <c r="K174" s="1" t="str">
        <f t="shared" si="2"/>
        <v>Non-Incentive</v>
      </c>
      <c r="L174" s="1" t="str">
        <f t="shared" si="3"/>
        <v>TUG</v>
      </c>
      <c r="M174" s="1">
        <f t="shared" si="4"/>
        <v>3</v>
      </c>
      <c r="N174" s="1">
        <f t="shared" si="5"/>
        <v>2017</v>
      </c>
    </row>
    <row r="175" ht="15.75" customHeight="1">
      <c r="A175" s="1" t="s">
        <v>14</v>
      </c>
      <c r="B175" s="1">
        <v>8751355.0</v>
      </c>
      <c r="C175" s="1" t="s">
        <v>768</v>
      </c>
      <c r="D175" s="1" t="s">
        <v>774</v>
      </c>
      <c r="E175" s="1" t="s">
        <v>775</v>
      </c>
      <c r="F175" s="1" t="s">
        <v>776</v>
      </c>
      <c r="G175" s="1" t="s">
        <v>777</v>
      </c>
      <c r="H175" s="1" t="s">
        <v>778</v>
      </c>
      <c r="I175" s="1" t="s">
        <v>779</v>
      </c>
      <c r="J175" s="1" t="str">
        <f t="shared" si="1"/>
        <v>Non-Compliant</v>
      </c>
      <c r="K175" s="1" t="str">
        <f t="shared" si="2"/>
        <v>Non-Incentive</v>
      </c>
      <c r="L175" s="1" t="str">
        <f t="shared" si="3"/>
        <v>TUG</v>
      </c>
      <c r="M175" s="1">
        <f t="shared" si="4"/>
        <v>3</v>
      </c>
      <c r="N175" s="1">
        <f t="shared" si="5"/>
        <v>2017</v>
      </c>
    </row>
    <row r="176" ht="15.75" customHeight="1">
      <c r="A176" s="1" t="s">
        <v>14</v>
      </c>
      <c r="B176" s="1">
        <v>8752612.0</v>
      </c>
      <c r="C176" s="1" t="s">
        <v>768</v>
      </c>
      <c r="D176" s="1" t="s">
        <v>780</v>
      </c>
      <c r="E176" s="1" t="s">
        <v>781</v>
      </c>
      <c r="F176" s="1" t="s">
        <v>782</v>
      </c>
      <c r="G176" s="1" t="s">
        <v>19</v>
      </c>
      <c r="H176" s="1" t="s">
        <v>783</v>
      </c>
      <c r="I176" s="1" t="s">
        <v>784</v>
      </c>
      <c r="J176" s="1" t="str">
        <f t="shared" si="1"/>
        <v>Non-Compliant</v>
      </c>
      <c r="K176" s="1" t="str">
        <f t="shared" si="2"/>
        <v>Non-Incentive</v>
      </c>
      <c r="L176" s="1" t="str">
        <f t="shared" si="3"/>
        <v>TUG</v>
      </c>
      <c r="M176" s="1">
        <f t="shared" si="4"/>
        <v>3</v>
      </c>
      <c r="N176" s="1">
        <f t="shared" si="5"/>
        <v>2017</v>
      </c>
    </row>
    <row r="177" ht="15.75" customHeight="1">
      <c r="A177" s="1" t="s">
        <v>14</v>
      </c>
      <c r="B177" s="1">
        <v>8752787.0</v>
      </c>
      <c r="C177" s="1" t="s">
        <v>768</v>
      </c>
      <c r="D177" s="1" t="s">
        <v>785</v>
      </c>
      <c r="E177" s="1" t="s">
        <v>786</v>
      </c>
      <c r="F177" s="1" t="s">
        <v>787</v>
      </c>
      <c r="G177" s="1" t="s">
        <v>19</v>
      </c>
      <c r="H177" s="1" t="s">
        <v>788</v>
      </c>
      <c r="I177" s="1" t="s">
        <v>789</v>
      </c>
      <c r="J177" s="1" t="str">
        <f t="shared" si="1"/>
        <v>Non-Compliant</v>
      </c>
      <c r="K177" s="1" t="str">
        <f t="shared" si="2"/>
        <v>Non-Incentive</v>
      </c>
      <c r="L177" s="1" t="str">
        <f t="shared" si="3"/>
        <v>TUG</v>
      </c>
      <c r="M177" s="1">
        <f t="shared" si="4"/>
        <v>3</v>
      </c>
      <c r="N177" s="1">
        <f t="shared" si="5"/>
        <v>2017</v>
      </c>
    </row>
    <row r="178" ht="15.75" customHeight="1">
      <c r="A178" s="1" t="s">
        <v>14</v>
      </c>
      <c r="B178" s="1">
        <v>8775656.0</v>
      </c>
      <c r="C178" s="1" t="s">
        <v>790</v>
      </c>
      <c r="D178" s="1" t="s">
        <v>791</v>
      </c>
      <c r="E178" s="1" t="s">
        <v>792</v>
      </c>
      <c r="F178" s="1" t="s">
        <v>793</v>
      </c>
      <c r="G178" s="1" t="s">
        <v>37</v>
      </c>
      <c r="H178" s="1" t="s">
        <v>794</v>
      </c>
      <c r="I178" s="1" t="s">
        <v>795</v>
      </c>
      <c r="J178" s="1" t="str">
        <f t="shared" si="1"/>
        <v>Non-Compliant</v>
      </c>
      <c r="K178" s="1" t="str">
        <f t="shared" si="2"/>
        <v>Non-Incentive</v>
      </c>
      <c r="L178" s="1" t="str">
        <f t="shared" si="3"/>
        <v>TUG</v>
      </c>
      <c r="M178" s="1">
        <f t="shared" si="4"/>
        <v>3</v>
      </c>
      <c r="N178" s="1">
        <f t="shared" si="5"/>
        <v>2017</v>
      </c>
    </row>
    <row r="179" ht="15.75" customHeight="1">
      <c r="A179" s="1" t="s">
        <v>14</v>
      </c>
      <c r="B179" s="1">
        <v>8783035.0</v>
      </c>
      <c r="C179" s="1" t="s">
        <v>790</v>
      </c>
      <c r="D179" s="1" t="s">
        <v>796</v>
      </c>
      <c r="E179" s="1" t="s">
        <v>797</v>
      </c>
      <c r="F179" s="1" t="s">
        <v>798</v>
      </c>
      <c r="G179" s="1" t="s">
        <v>19</v>
      </c>
      <c r="H179" s="1" t="s">
        <v>799</v>
      </c>
      <c r="I179" s="1" t="s">
        <v>250</v>
      </c>
      <c r="J179" s="1" t="str">
        <f t="shared" si="1"/>
        <v>Non-Compliant</v>
      </c>
      <c r="K179" s="1" t="str">
        <f t="shared" si="2"/>
        <v>Non-Incentive</v>
      </c>
      <c r="L179" s="1" t="str">
        <f t="shared" si="3"/>
        <v>TUG</v>
      </c>
      <c r="M179" s="1">
        <f t="shared" si="4"/>
        <v>3</v>
      </c>
      <c r="N179" s="1">
        <f t="shared" si="5"/>
        <v>2017</v>
      </c>
    </row>
    <row r="180" ht="15.75" customHeight="1">
      <c r="A180" s="1" t="s">
        <v>14</v>
      </c>
      <c r="B180" s="1">
        <v>8784077.0</v>
      </c>
      <c r="C180" s="1" t="s">
        <v>790</v>
      </c>
      <c r="D180" s="1" t="s">
        <v>800</v>
      </c>
      <c r="E180" s="1" t="s">
        <v>801</v>
      </c>
      <c r="F180" s="1" t="s">
        <v>802</v>
      </c>
      <c r="G180" s="1" t="s">
        <v>19</v>
      </c>
      <c r="H180" s="1" t="s">
        <v>803</v>
      </c>
      <c r="I180" s="1" t="s">
        <v>111</v>
      </c>
      <c r="J180" s="1" t="str">
        <f t="shared" si="1"/>
        <v>Non-Compliant</v>
      </c>
      <c r="K180" s="1" t="str">
        <f t="shared" si="2"/>
        <v>Non-Incentive</v>
      </c>
      <c r="L180" s="1" t="str">
        <f t="shared" si="3"/>
        <v>TUG</v>
      </c>
      <c r="M180" s="1">
        <f t="shared" si="4"/>
        <v>3</v>
      </c>
      <c r="N180" s="1">
        <f t="shared" si="5"/>
        <v>2017</v>
      </c>
    </row>
    <row r="181" ht="15.75" customHeight="1">
      <c r="A181" s="1" t="s">
        <v>14</v>
      </c>
      <c r="B181" s="1">
        <v>8794182.0</v>
      </c>
      <c r="C181" s="1" t="s">
        <v>804</v>
      </c>
      <c r="D181" s="1" t="s">
        <v>805</v>
      </c>
      <c r="E181" s="1" t="s">
        <v>806</v>
      </c>
      <c r="F181" s="1" t="s">
        <v>807</v>
      </c>
      <c r="G181" s="1" t="s">
        <v>19</v>
      </c>
      <c r="H181" s="1" t="s">
        <v>808</v>
      </c>
      <c r="I181" s="1" t="s">
        <v>809</v>
      </c>
      <c r="J181" s="1" t="str">
        <f t="shared" si="1"/>
        <v>Non-Compliant</v>
      </c>
      <c r="K181" s="1" t="str">
        <f t="shared" si="2"/>
        <v>Non-Incentive</v>
      </c>
      <c r="L181" s="1" t="str">
        <f t="shared" si="3"/>
        <v>TUG</v>
      </c>
      <c r="M181" s="1">
        <f t="shared" si="4"/>
        <v>3</v>
      </c>
      <c r="N181" s="1">
        <f t="shared" si="5"/>
        <v>2017</v>
      </c>
    </row>
    <row r="182" ht="15.75" customHeight="1">
      <c r="A182" s="1" t="s">
        <v>14</v>
      </c>
      <c r="B182" s="1">
        <v>8796298.0</v>
      </c>
      <c r="C182" s="1" t="s">
        <v>804</v>
      </c>
      <c r="D182" s="1" t="s">
        <v>810</v>
      </c>
      <c r="E182" s="1" t="s">
        <v>811</v>
      </c>
      <c r="F182" s="1" t="s">
        <v>812</v>
      </c>
      <c r="G182" s="1" t="s">
        <v>37</v>
      </c>
      <c r="H182" s="1" t="s">
        <v>813</v>
      </c>
      <c r="I182" s="1" t="s">
        <v>814</v>
      </c>
      <c r="J182" s="1" t="str">
        <f t="shared" si="1"/>
        <v>Non-Compliant</v>
      </c>
      <c r="K182" s="1" t="str">
        <f t="shared" si="2"/>
        <v>Non-Incentive</v>
      </c>
      <c r="L182" s="1" t="str">
        <f t="shared" si="3"/>
        <v>TUG</v>
      </c>
      <c r="M182" s="1">
        <f t="shared" si="4"/>
        <v>3</v>
      </c>
      <c r="N182" s="1">
        <f t="shared" si="5"/>
        <v>2017</v>
      </c>
    </row>
    <row r="183" ht="15.75" customHeight="1">
      <c r="A183" s="1" t="s">
        <v>14</v>
      </c>
      <c r="B183" s="1">
        <v>8826748.0</v>
      </c>
      <c r="C183" s="1" t="s">
        <v>815</v>
      </c>
      <c r="D183" s="1" t="s">
        <v>816</v>
      </c>
      <c r="E183" s="1" t="s">
        <v>817</v>
      </c>
      <c r="F183" s="1" t="s">
        <v>818</v>
      </c>
      <c r="G183" s="1" t="s">
        <v>19</v>
      </c>
      <c r="H183" s="1" t="s">
        <v>819</v>
      </c>
      <c r="I183" s="1" t="s">
        <v>820</v>
      </c>
      <c r="J183" s="1" t="str">
        <f t="shared" si="1"/>
        <v>Non-Compliant</v>
      </c>
      <c r="K183" s="1" t="str">
        <f t="shared" si="2"/>
        <v>Non-Incentive</v>
      </c>
      <c r="L183" s="1" t="str">
        <f t="shared" si="3"/>
        <v>TUG</v>
      </c>
      <c r="M183" s="1">
        <f t="shared" si="4"/>
        <v>3</v>
      </c>
      <c r="N183" s="1">
        <f t="shared" si="5"/>
        <v>2017</v>
      </c>
    </row>
    <row r="184" ht="15.75" customHeight="1">
      <c r="A184" s="1" t="s">
        <v>14</v>
      </c>
      <c r="B184" s="1">
        <v>8848896.0</v>
      </c>
      <c r="C184" s="1" t="s">
        <v>821</v>
      </c>
      <c r="D184" s="1" t="s">
        <v>822</v>
      </c>
      <c r="E184" s="1" t="s">
        <v>823</v>
      </c>
      <c r="F184" s="1" t="s">
        <v>824</v>
      </c>
      <c r="G184" s="1" t="s">
        <v>19</v>
      </c>
      <c r="H184" s="1" t="s">
        <v>825</v>
      </c>
      <c r="I184" s="1" t="s">
        <v>826</v>
      </c>
      <c r="J184" s="1" t="str">
        <f t="shared" si="1"/>
        <v>Non-Compliant</v>
      </c>
      <c r="K184" s="1" t="str">
        <f t="shared" si="2"/>
        <v>Non-Incentive</v>
      </c>
      <c r="L184" s="1" t="str">
        <f t="shared" si="3"/>
        <v>TUG</v>
      </c>
      <c r="M184" s="1">
        <f t="shared" si="4"/>
        <v>3</v>
      </c>
      <c r="N184" s="1">
        <f t="shared" si="5"/>
        <v>2017</v>
      </c>
    </row>
    <row r="185" ht="15.75" customHeight="1">
      <c r="A185" s="1" t="s">
        <v>14</v>
      </c>
      <c r="B185" s="1">
        <v>8849157.0</v>
      </c>
      <c r="C185" s="1" t="s">
        <v>821</v>
      </c>
      <c r="D185" s="1" t="s">
        <v>827</v>
      </c>
      <c r="E185" s="1" t="s">
        <v>828</v>
      </c>
      <c r="F185" s="1" t="s">
        <v>829</v>
      </c>
      <c r="G185" s="1" t="s">
        <v>19</v>
      </c>
      <c r="H185" s="1" t="s">
        <v>830</v>
      </c>
      <c r="I185" s="1" t="s">
        <v>831</v>
      </c>
      <c r="J185" s="1" t="str">
        <f t="shared" si="1"/>
        <v>Non-Compliant</v>
      </c>
      <c r="K185" s="1" t="str">
        <f t="shared" si="2"/>
        <v>Non-Incentive</v>
      </c>
      <c r="L185" s="1" t="str">
        <f t="shared" si="3"/>
        <v>TUG</v>
      </c>
      <c r="M185" s="1">
        <f t="shared" si="4"/>
        <v>3</v>
      </c>
      <c r="N185" s="1">
        <f t="shared" si="5"/>
        <v>2017</v>
      </c>
    </row>
    <row r="186" ht="15.75" customHeight="1">
      <c r="A186" s="1" t="s">
        <v>14</v>
      </c>
      <c r="B186" s="1">
        <v>8876829.0</v>
      </c>
      <c r="C186" s="1" t="s">
        <v>832</v>
      </c>
      <c r="D186" s="1" t="s">
        <v>833</v>
      </c>
      <c r="E186" s="1" t="s">
        <v>834</v>
      </c>
      <c r="F186" s="1" t="s">
        <v>835</v>
      </c>
      <c r="G186" s="1" t="s">
        <v>19</v>
      </c>
      <c r="H186" s="1" t="s">
        <v>836</v>
      </c>
      <c r="I186" s="1" t="s">
        <v>837</v>
      </c>
      <c r="J186" s="1" t="str">
        <f t="shared" si="1"/>
        <v>Non-Compliant</v>
      </c>
      <c r="K186" s="1" t="str">
        <f t="shared" si="2"/>
        <v>Non-Incentive</v>
      </c>
      <c r="L186" s="1" t="str">
        <f t="shared" si="3"/>
        <v>TUG</v>
      </c>
      <c r="M186" s="1">
        <f t="shared" si="4"/>
        <v>3</v>
      </c>
      <c r="N186" s="1">
        <f t="shared" si="5"/>
        <v>2017</v>
      </c>
    </row>
    <row r="187" ht="15.75" customHeight="1">
      <c r="A187" s="1" t="s">
        <v>14</v>
      </c>
      <c r="B187" s="1">
        <v>8876935.0</v>
      </c>
      <c r="C187" s="1" t="s">
        <v>832</v>
      </c>
      <c r="D187" s="1" t="s">
        <v>838</v>
      </c>
      <c r="E187" s="1" t="s">
        <v>834</v>
      </c>
      <c r="F187" s="1" t="s">
        <v>839</v>
      </c>
      <c r="G187" s="1" t="s">
        <v>19</v>
      </c>
      <c r="H187" s="1" t="s">
        <v>840</v>
      </c>
      <c r="I187" s="1" t="s">
        <v>837</v>
      </c>
      <c r="J187" s="1" t="str">
        <f t="shared" si="1"/>
        <v>Non-Compliant</v>
      </c>
      <c r="K187" s="1" t="str">
        <f t="shared" si="2"/>
        <v>Non-Incentive</v>
      </c>
      <c r="L187" s="1" t="str">
        <f t="shared" si="3"/>
        <v>TUG</v>
      </c>
      <c r="M187" s="1">
        <f t="shared" si="4"/>
        <v>3</v>
      </c>
      <c r="N187" s="1">
        <f t="shared" si="5"/>
        <v>2017</v>
      </c>
    </row>
    <row r="188" ht="15.75" customHeight="1">
      <c r="A188" s="1" t="s">
        <v>14</v>
      </c>
      <c r="B188" s="1">
        <v>8898683.0</v>
      </c>
      <c r="C188" s="1" t="s">
        <v>841</v>
      </c>
      <c r="D188" s="1" t="s">
        <v>842</v>
      </c>
      <c r="E188" s="1" t="s">
        <v>843</v>
      </c>
      <c r="F188" s="1" t="s">
        <v>844</v>
      </c>
      <c r="G188" s="1" t="s">
        <v>19</v>
      </c>
      <c r="H188" s="1" t="s">
        <v>845</v>
      </c>
      <c r="I188" s="1" t="s">
        <v>846</v>
      </c>
      <c r="J188" s="1" t="str">
        <f t="shared" si="1"/>
        <v>Non-Compliant</v>
      </c>
      <c r="K188" s="1" t="str">
        <f t="shared" si="2"/>
        <v>Non-Incentive</v>
      </c>
      <c r="L188" s="1" t="str">
        <f t="shared" si="3"/>
        <v>TUG</v>
      </c>
      <c r="M188" s="1">
        <f t="shared" si="4"/>
        <v>3</v>
      </c>
      <c r="N188" s="1">
        <f t="shared" si="5"/>
        <v>2017</v>
      </c>
    </row>
    <row r="189" ht="15.75" customHeight="1">
      <c r="A189" s="1" t="s">
        <v>14</v>
      </c>
      <c r="B189" s="1">
        <v>8909116.0</v>
      </c>
      <c r="C189" s="1" t="s">
        <v>841</v>
      </c>
      <c r="D189" s="1" t="s">
        <v>847</v>
      </c>
      <c r="E189" s="1" t="s">
        <v>848</v>
      </c>
      <c r="F189" s="1" t="s">
        <v>849</v>
      </c>
      <c r="G189" s="1" t="s">
        <v>850</v>
      </c>
      <c r="H189" s="1" t="s">
        <v>851</v>
      </c>
      <c r="I189" s="1" t="s">
        <v>852</v>
      </c>
      <c r="J189" s="1" t="str">
        <f t="shared" si="1"/>
        <v>Non-Compliant</v>
      </c>
      <c r="K189" s="1" t="str">
        <f t="shared" si="2"/>
        <v>Non-Incentive</v>
      </c>
      <c r="L189" s="1" t="str">
        <f t="shared" si="3"/>
        <v>TUG</v>
      </c>
      <c r="M189" s="1">
        <f t="shared" si="4"/>
        <v>3</v>
      </c>
      <c r="N189" s="1">
        <f t="shared" si="5"/>
        <v>2017</v>
      </c>
    </row>
    <row r="190" ht="15.75" customHeight="1">
      <c r="A190" s="1" t="s">
        <v>14</v>
      </c>
      <c r="B190" s="1">
        <v>8909119.0</v>
      </c>
      <c r="C190" s="1" t="s">
        <v>841</v>
      </c>
      <c r="D190" s="1" t="s">
        <v>853</v>
      </c>
      <c r="E190" s="1" t="s">
        <v>848</v>
      </c>
      <c r="F190" s="1" t="s">
        <v>849</v>
      </c>
      <c r="G190" s="1" t="s">
        <v>854</v>
      </c>
      <c r="H190" s="1" t="s">
        <v>855</v>
      </c>
      <c r="I190" s="1" t="s">
        <v>852</v>
      </c>
      <c r="J190" s="1" t="str">
        <f t="shared" si="1"/>
        <v>Non-Compliant</v>
      </c>
      <c r="K190" s="1" t="str">
        <f t="shared" si="2"/>
        <v>Non-Incentive</v>
      </c>
      <c r="L190" s="1" t="str">
        <f t="shared" si="3"/>
        <v>TUG</v>
      </c>
      <c r="M190" s="1">
        <f t="shared" si="4"/>
        <v>3</v>
      </c>
      <c r="N190" s="1">
        <f t="shared" si="5"/>
        <v>2017</v>
      </c>
    </row>
    <row r="191" ht="15.75" customHeight="1">
      <c r="A191" s="1" t="s">
        <v>14</v>
      </c>
      <c r="B191" s="1">
        <v>8909141.0</v>
      </c>
      <c r="C191" s="1" t="s">
        <v>841</v>
      </c>
      <c r="D191" s="1" t="s">
        <v>856</v>
      </c>
      <c r="E191" s="1" t="s">
        <v>848</v>
      </c>
      <c r="F191" s="1" t="s">
        <v>849</v>
      </c>
      <c r="G191" s="1" t="s">
        <v>850</v>
      </c>
      <c r="H191" s="1" t="s">
        <v>851</v>
      </c>
      <c r="I191" s="1" t="s">
        <v>852</v>
      </c>
      <c r="J191" s="1" t="str">
        <f t="shared" si="1"/>
        <v>Non-Compliant</v>
      </c>
      <c r="K191" s="1" t="str">
        <f t="shared" si="2"/>
        <v>Non-Incentive</v>
      </c>
      <c r="L191" s="1" t="str">
        <f t="shared" si="3"/>
        <v>TUG</v>
      </c>
      <c r="M191" s="1">
        <f t="shared" si="4"/>
        <v>3</v>
      </c>
      <c r="N191" s="1">
        <f t="shared" si="5"/>
        <v>2017</v>
      </c>
    </row>
    <row r="192" ht="15.75" customHeight="1">
      <c r="A192" s="1" t="s">
        <v>14</v>
      </c>
      <c r="B192" s="1">
        <v>8909143.0</v>
      </c>
      <c r="C192" s="1" t="s">
        <v>841</v>
      </c>
      <c r="D192" s="1" t="s">
        <v>857</v>
      </c>
      <c r="E192" s="1" t="s">
        <v>848</v>
      </c>
      <c r="F192" s="1" t="s">
        <v>849</v>
      </c>
      <c r="G192" s="1" t="s">
        <v>850</v>
      </c>
      <c r="H192" s="1" t="s">
        <v>851</v>
      </c>
      <c r="I192" s="1" t="s">
        <v>852</v>
      </c>
      <c r="J192" s="1" t="str">
        <f t="shared" si="1"/>
        <v>Non-Compliant</v>
      </c>
      <c r="K192" s="1" t="str">
        <f t="shared" si="2"/>
        <v>Non-Incentive</v>
      </c>
      <c r="L192" s="1" t="str">
        <f t="shared" si="3"/>
        <v>TUG</v>
      </c>
      <c r="M192" s="1">
        <f t="shared" si="4"/>
        <v>3</v>
      </c>
      <c r="N192" s="1">
        <f t="shared" si="5"/>
        <v>2017</v>
      </c>
    </row>
    <row r="193" ht="15.75" customHeight="1">
      <c r="A193" s="1" t="s">
        <v>14</v>
      </c>
      <c r="B193" s="1">
        <v>8909148.0</v>
      </c>
      <c r="C193" s="1" t="s">
        <v>841</v>
      </c>
      <c r="D193" s="1" t="s">
        <v>858</v>
      </c>
      <c r="E193" s="1" t="s">
        <v>848</v>
      </c>
      <c r="F193" s="1" t="s">
        <v>849</v>
      </c>
      <c r="G193" s="1" t="s">
        <v>859</v>
      </c>
      <c r="H193" s="1" t="s">
        <v>860</v>
      </c>
      <c r="I193" s="1" t="s">
        <v>852</v>
      </c>
      <c r="J193" s="1" t="str">
        <f t="shared" si="1"/>
        <v>Non-Compliant</v>
      </c>
      <c r="K193" s="1" t="str">
        <f t="shared" si="2"/>
        <v>Non-Incentive</v>
      </c>
      <c r="L193" s="1" t="str">
        <f t="shared" si="3"/>
        <v>TUG</v>
      </c>
      <c r="M193" s="1">
        <f t="shared" si="4"/>
        <v>3</v>
      </c>
      <c r="N193" s="1">
        <f t="shared" si="5"/>
        <v>2017</v>
      </c>
    </row>
    <row r="194" ht="15.75" customHeight="1">
      <c r="A194" s="1" t="s">
        <v>14</v>
      </c>
      <c r="B194" s="1">
        <v>8910761.0</v>
      </c>
      <c r="C194" s="1" t="s">
        <v>841</v>
      </c>
      <c r="D194" s="1" t="s">
        <v>861</v>
      </c>
      <c r="E194" s="1" t="s">
        <v>848</v>
      </c>
      <c r="F194" s="1" t="s">
        <v>849</v>
      </c>
      <c r="G194" s="1" t="s">
        <v>850</v>
      </c>
      <c r="H194" s="1" t="s">
        <v>851</v>
      </c>
      <c r="I194" s="1" t="s">
        <v>852</v>
      </c>
      <c r="J194" s="1" t="str">
        <f t="shared" si="1"/>
        <v>Non-Compliant</v>
      </c>
      <c r="K194" s="1" t="str">
        <f t="shared" si="2"/>
        <v>Non-Incentive</v>
      </c>
      <c r="L194" s="1" t="str">
        <f t="shared" si="3"/>
        <v>TUG</v>
      </c>
      <c r="M194" s="1">
        <f t="shared" si="4"/>
        <v>3</v>
      </c>
      <c r="N194" s="1">
        <f t="shared" si="5"/>
        <v>2017</v>
      </c>
    </row>
    <row r="195" ht="15.75" customHeight="1">
      <c r="A195" s="1" t="s">
        <v>14</v>
      </c>
      <c r="B195" s="1">
        <v>8913772.0</v>
      </c>
      <c r="C195" s="1" t="s">
        <v>841</v>
      </c>
      <c r="D195" s="1" t="s">
        <v>862</v>
      </c>
      <c r="E195" s="1" t="s">
        <v>863</v>
      </c>
      <c r="F195" s="1" t="s">
        <v>864</v>
      </c>
      <c r="G195" s="1" t="s">
        <v>37</v>
      </c>
      <c r="H195" s="1" t="s">
        <v>865</v>
      </c>
      <c r="I195" s="1" t="s">
        <v>866</v>
      </c>
      <c r="J195" s="1" t="str">
        <f t="shared" si="1"/>
        <v>Non-Compliant</v>
      </c>
      <c r="K195" s="1" t="str">
        <f t="shared" si="2"/>
        <v>Non-Incentive</v>
      </c>
      <c r="L195" s="1" t="str">
        <f t="shared" si="3"/>
        <v>TUG</v>
      </c>
      <c r="M195" s="1">
        <f t="shared" si="4"/>
        <v>3</v>
      </c>
      <c r="N195" s="1">
        <f t="shared" si="5"/>
        <v>2017</v>
      </c>
    </row>
    <row r="196" ht="15.75" customHeight="1">
      <c r="A196" s="1" t="s">
        <v>14</v>
      </c>
      <c r="B196" s="1">
        <v>8937407.0</v>
      </c>
      <c r="C196" s="1" t="s">
        <v>867</v>
      </c>
      <c r="D196" s="1" t="s">
        <v>868</v>
      </c>
      <c r="E196" s="1" t="s">
        <v>869</v>
      </c>
      <c r="F196" s="1" t="s">
        <v>870</v>
      </c>
      <c r="G196" s="1" t="s">
        <v>19</v>
      </c>
      <c r="H196" s="1" t="s">
        <v>871</v>
      </c>
      <c r="I196" s="1" t="s">
        <v>872</v>
      </c>
      <c r="J196" s="1" t="str">
        <f t="shared" si="1"/>
        <v>Non-Compliant</v>
      </c>
      <c r="K196" s="1" t="str">
        <f t="shared" si="2"/>
        <v>Non-Incentive</v>
      </c>
      <c r="L196" s="1" t="str">
        <f t="shared" si="3"/>
        <v>TUG</v>
      </c>
      <c r="M196" s="1">
        <f t="shared" si="4"/>
        <v>3</v>
      </c>
      <c r="N196" s="1">
        <f t="shared" si="5"/>
        <v>2017</v>
      </c>
    </row>
    <row r="197" ht="15.75" customHeight="1">
      <c r="A197" s="1" t="s">
        <v>14</v>
      </c>
      <c r="B197" s="1">
        <v>8942181.0</v>
      </c>
      <c r="C197" s="1" t="s">
        <v>867</v>
      </c>
      <c r="D197" s="1" t="s">
        <v>873</v>
      </c>
      <c r="E197" s="1" t="s">
        <v>755</v>
      </c>
      <c r="F197" s="1" t="s">
        <v>874</v>
      </c>
      <c r="G197" s="1" t="s">
        <v>37</v>
      </c>
      <c r="H197" s="1" t="s">
        <v>875</v>
      </c>
      <c r="I197" s="1" t="s">
        <v>876</v>
      </c>
      <c r="J197" s="1" t="str">
        <f t="shared" si="1"/>
        <v>Non-Compliant</v>
      </c>
      <c r="K197" s="1" t="str">
        <f t="shared" si="2"/>
        <v>Non-Incentive</v>
      </c>
      <c r="L197" s="1" t="str">
        <f t="shared" si="3"/>
        <v>TUG</v>
      </c>
      <c r="M197" s="1">
        <f t="shared" si="4"/>
        <v>3</v>
      </c>
      <c r="N197" s="1">
        <f t="shared" si="5"/>
        <v>2017</v>
      </c>
    </row>
    <row r="198" ht="15.75" customHeight="1">
      <c r="A198" s="1" t="s">
        <v>14</v>
      </c>
      <c r="B198" s="1">
        <v>8942185.0</v>
      </c>
      <c r="C198" s="1" t="s">
        <v>867</v>
      </c>
      <c r="D198" s="1" t="s">
        <v>877</v>
      </c>
      <c r="E198" s="1" t="s">
        <v>755</v>
      </c>
      <c r="F198" s="1" t="s">
        <v>878</v>
      </c>
      <c r="G198" s="1" t="s">
        <v>37</v>
      </c>
      <c r="H198" s="1" t="s">
        <v>879</v>
      </c>
      <c r="I198" s="1" t="s">
        <v>876</v>
      </c>
      <c r="J198" s="1" t="str">
        <f t="shared" si="1"/>
        <v>Non-Compliant</v>
      </c>
      <c r="K198" s="1" t="str">
        <f t="shared" si="2"/>
        <v>Non-Incentive</v>
      </c>
      <c r="L198" s="1" t="str">
        <f t="shared" si="3"/>
        <v>TUG</v>
      </c>
      <c r="M198" s="1">
        <f t="shared" si="4"/>
        <v>3</v>
      </c>
      <c r="N198" s="1">
        <f t="shared" si="5"/>
        <v>2017</v>
      </c>
    </row>
    <row r="199" ht="15.75" customHeight="1">
      <c r="A199" s="1" t="s">
        <v>14</v>
      </c>
      <c r="B199" s="1">
        <v>8961510.0</v>
      </c>
      <c r="C199" s="1" t="s">
        <v>880</v>
      </c>
      <c r="D199" s="1" t="s">
        <v>881</v>
      </c>
      <c r="E199" s="1" t="s">
        <v>882</v>
      </c>
      <c r="F199" s="1" t="s">
        <v>883</v>
      </c>
      <c r="G199" s="1" t="s">
        <v>884</v>
      </c>
      <c r="H199" s="1" t="s">
        <v>885</v>
      </c>
      <c r="I199" s="1" t="s">
        <v>886</v>
      </c>
      <c r="J199" s="1" t="str">
        <f t="shared" si="1"/>
        <v>Non-Compliant</v>
      </c>
      <c r="K199" s="1" t="str">
        <f t="shared" si="2"/>
        <v>Non-Incentive</v>
      </c>
      <c r="L199" s="1" t="str">
        <f t="shared" si="3"/>
        <v>TUG</v>
      </c>
      <c r="M199" s="1">
        <f t="shared" si="4"/>
        <v>3</v>
      </c>
      <c r="N199" s="1">
        <f t="shared" si="5"/>
        <v>2017</v>
      </c>
    </row>
    <row r="200" ht="15.75" customHeight="1">
      <c r="A200" s="1" t="s">
        <v>14</v>
      </c>
      <c r="B200" s="1">
        <v>8961708.0</v>
      </c>
      <c r="C200" s="1" t="s">
        <v>880</v>
      </c>
      <c r="D200" s="1" t="s">
        <v>887</v>
      </c>
      <c r="E200" s="1" t="s">
        <v>888</v>
      </c>
      <c r="F200" s="1" t="s">
        <v>889</v>
      </c>
      <c r="G200" s="1" t="s">
        <v>19</v>
      </c>
      <c r="H200" s="1" t="s">
        <v>890</v>
      </c>
      <c r="I200" s="1" t="s">
        <v>891</v>
      </c>
      <c r="J200" s="1" t="str">
        <f t="shared" si="1"/>
        <v>Non-Compliant</v>
      </c>
      <c r="K200" s="1" t="str">
        <f t="shared" si="2"/>
        <v>Non-Incentive</v>
      </c>
      <c r="L200" s="1" t="str">
        <f t="shared" si="3"/>
        <v>TUG</v>
      </c>
      <c r="M200" s="1">
        <f t="shared" si="4"/>
        <v>3</v>
      </c>
      <c r="N200" s="1">
        <f t="shared" si="5"/>
        <v>2017</v>
      </c>
    </row>
    <row r="201" ht="15.75" customHeight="1">
      <c r="A201" s="1" t="s">
        <v>14</v>
      </c>
      <c r="B201" s="1">
        <v>8964619.0</v>
      </c>
      <c r="C201" s="1" t="s">
        <v>880</v>
      </c>
      <c r="D201" s="1" t="s">
        <v>892</v>
      </c>
      <c r="E201" s="1" t="s">
        <v>893</v>
      </c>
      <c r="F201" s="1" t="s">
        <v>894</v>
      </c>
      <c r="G201" s="1" t="s">
        <v>19</v>
      </c>
      <c r="H201" s="1" t="s">
        <v>895</v>
      </c>
      <c r="I201" s="1" t="s">
        <v>32</v>
      </c>
      <c r="J201" s="1" t="str">
        <f t="shared" si="1"/>
        <v>Non-Compliant</v>
      </c>
      <c r="K201" s="1" t="str">
        <f t="shared" si="2"/>
        <v>Non-Incentive</v>
      </c>
      <c r="L201" s="1" t="str">
        <f t="shared" si="3"/>
        <v>TUG</v>
      </c>
      <c r="M201" s="1">
        <f t="shared" si="4"/>
        <v>3</v>
      </c>
      <c r="N201" s="1">
        <f t="shared" si="5"/>
        <v>2017</v>
      </c>
    </row>
    <row r="202" ht="15.75" customHeight="1">
      <c r="A202" s="1" t="s">
        <v>14</v>
      </c>
      <c r="B202" s="1">
        <v>8966600.0</v>
      </c>
      <c r="C202" s="1" t="s">
        <v>880</v>
      </c>
      <c r="D202" s="1" t="s">
        <v>896</v>
      </c>
      <c r="E202" s="1" t="s">
        <v>897</v>
      </c>
      <c r="F202" s="1" t="s">
        <v>889</v>
      </c>
      <c r="G202" s="1" t="s">
        <v>19</v>
      </c>
      <c r="H202" s="1" t="s">
        <v>898</v>
      </c>
      <c r="I202" s="1" t="s">
        <v>891</v>
      </c>
      <c r="J202" s="1" t="str">
        <f t="shared" si="1"/>
        <v>Non-Compliant</v>
      </c>
      <c r="K202" s="1" t="str">
        <f t="shared" si="2"/>
        <v>Non-Incentive</v>
      </c>
      <c r="L202" s="1" t="str">
        <f t="shared" si="3"/>
        <v>TUG</v>
      </c>
      <c r="M202" s="1">
        <f t="shared" si="4"/>
        <v>3</v>
      </c>
      <c r="N202" s="1">
        <f t="shared" si="5"/>
        <v>2017</v>
      </c>
    </row>
    <row r="203" ht="15.75" customHeight="1">
      <c r="A203" s="1" t="s">
        <v>14</v>
      </c>
      <c r="B203" s="1">
        <v>8967109.0</v>
      </c>
      <c r="C203" s="1" t="s">
        <v>880</v>
      </c>
      <c r="D203" s="1" t="s">
        <v>899</v>
      </c>
      <c r="E203" s="1" t="s">
        <v>900</v>
      </c>
      <c r="F203" s="1" t="s">
        <v>889</v>
      </c>
      <c r="G203" s="1" t="s">
        <v>19</v>
      </c>
      <c r="H203" s="1" t="s">
        <v>901</v>
      </c>
      <c r="I203" s="1" t="s">
        <v>891</v>
      </c>
      <c r="J203" s="1" t="str">
        <f t="shared" si="1"/>
        <v>Non-Compliant</v>
      </c>
      <c r="K203" s="1" t="str">
        <f t="shared" si="2"/>
        <v>Non-Incentive</v>
      </c>
      <c r="L203" s="1" t="str">
        <f t="shared" si="3"/>
        <v>TUG</v>
      </c>
      <c r="M203" s="1">
        <f t="shared" si="4"/>
        <v>3</v>
      </c>
      <c r="N203" s="1">
        <f t="shared" si="5"/>
        <v>2017</v>
      </c>
    </row>
    <row r="204" ht="15.75" customHeight="1">
      <c r="A204" s="1" t="s">
        <v>14</v>
      </c>
      <c r="B204" s="1">
        <v>8967731.0</v>
      </c>
      <c r="C204" s="1" t="s">
        <v>880</v>
      </c>
      <c r="D204" s="1" t="s">
        <v>902</v>
      </c>
      <c r="E204" s="1" t="s">
        <v>888</v>
      </c>
      <c r="F204" s="1" t="s">
        <v>903</v>
      </c>
      <c r="G204" s="1" t="s">
        <v>19</v>
      </c>
      <c r="H204" s="1" t="s">
        <v>904</v>
      </c>
      <c r="I204" s="1" t="s">
        <v>905</v>
      </c>
      <c r="J204" s="1" t="str">
        <f t="shared" si="1"/>
        <v>Non-Compliant</v>
      </c>
      <c r="K204" s="1" t="str">
        <f t="shared" si="2"/>
        <v>Non-Incentive</v>
      </c>
      <c r="L204" s="1" t="str">
        <f t="shared" si="3"/>
        <v>TUG</v>
      </c>
      <c r="M204" s="1">
        <f t="shared" si="4"/>
        <v>3</v>
      </c>
      <c r="N204" s="1">
        <f t="shared" si="5"/>
        <v>2017</v>
      </c>
    </row>
    <row r="205" ht="15.75" customHeight="1">
      <c r="A205" s="1" t="s">
        <v>14</v>
      </c>
      <c r="B205" s="1">
        <v>8999430.0</v>
      </c>
      <c r="C205" s="1" t="s">
        <v>906</v>
      </c>
      <c r="D205" s="1" t="s">
        <v>907</v>
      </c>
      <c r="E205" s="1" t="s">
        <v>908</v>
      </c>
      <c r="F205" s="1" t="s">
        <v>909</v>
      </c>
      <c r="G205" s="1" t="s">
        <v>19</v>
      </c>
      <c r="H205" s="1" t="s">
        <v>910</v>
      </c>
      <c r="I205" s="1" t="s">
        <v>911</v>
      </c>
      <c r="J205" s="1" t="str">
        <f t="shared" si="1"/>
        <v>Non-Compliant</v>
      </c>
      <c r="K205" s="1" t="str">
        <f t="shared" si="2"/>
        <v>Non-Incentive</v>
      </c>
      <c r="L205" s="1" t="str">
        <f t="shared" si="3"/>
        <v>TUG</v>
      </c>
      <c r="M205" s="1">
        <f t="shared" si="4"/>
        <v>3</v>
      </c>
      <c r="N205" s="1">
        <f t="shared" si="5"/>
        <v>2017</v>
      </c>
    </row>
    <row r="206" ht="15.75" customHeight="1">
      <c r="A206" s="1" t="s">
        <v>14</v>
      </c>
      <c r="B206" s="1">
        <v>9000406.0</v>
      </c>
      <c r="C206" s="1" t="s">
        <v>906</v>
      </c>
      <c r="D206" s="1" t="s">
        <v>912</v>
      </c>
      <c r="E206" s="1" t="s">
        <v>913</v>
      </c>
      <c r="F206" s="1" t="s">
        <v>914</v>
      </c>
      <c r="G206" s="1" t="s">
        <v>19</v>
      </c>
      <c r="H206" s="1" t="s">
        <v>915</v>
      </c>
      <c r="I206" s="1" t="s">
        <v>916</v>
      </c>
      <c r="J206" s="1" t="str">
        <f t="shared" si="1"/>
        <v>Non-Compliant</v>
      </c>
      <c r="K206" s="1" t="str">
        <f t="shared" si="2"/>
        <v>Non-Incentive</v>
      </c>
      <c r="L206" s="1" t="str">
        <f t="shared" si="3"/>
        <v>TUG</v>
      </c>
      <c r="M206" s="1">
        <f t="shared" si="4"/>
        <v>3</v>
      </c>
      <c r="N206" s="1">
        <f t="shared" si="5"/>
        <v>2017</v>
      </c>
    </row>
    <row r="207" ht="15.75" customHeight="1">
      <c r="A207" s="1" t="s">
        <v>14</v>
      </c>
      <c r="B207" s="1">
        <v>9003019.0</v>
      </c>
      <c r="C207" s="1" t="s">
        <v>906</v>
      </c>
      <c r="D207" s="1" t="s">
        <v>917</v>
      </c>
      <c r="E207" s="1" t="s">
        <v>817</v>
      </c>
      <c r="F207" s="1" t="s">
        <v>914</v>
      </c>
      <c r="G207" s="1" t="s">
        <v>19</v>
      </c>
      <c r="H207" s="1" t="s">
        <v>918</v>
      </c>
      <c r="I207" s="1" t="s">
        <v>916</v>
      </c>
      <c r="J207" s="1" t="str">
        <f t="shared" si="1"/>
        <v>Non-Compliant</v>
      </c>
      <c r="K207" s="1" t="str">
        <f t="shared" si="2"/>
        <v>Non-Incentive</v>
      </c>
      <c r="L207" s="1" t="str">
        <f t="shared" si="3"/>
        <v>TUG</v>
      </c>
      <c r="M207" s="1">
        <f t="shared" si="4"/>
        <v>3</v>
      </c>
      <c r="N207" s="1">
        <f t="shared" si="5"/>
        <v>2017</v>
      </c>
    </row>
    <row r="208" ht="15.75" customHeight="1">
      <c r="A208" s="1" t="s">
        <v>14</v>
      </c>
      <c r="B208" s="1">
        <v>9009228.0</v>
      </c>
      <c r="C208" s="1" t="s">
        <v>906</v>
      </c>
      <c r="D208" s="1" t="s">
        <v>919</v>
      </c>
      <c r="E208" s="1" t="s">
        <v>755</v>
      </c>
      <c r="F208" s="1" t="s">
        <v>920</v>
      </c>
      <c r="G208" s="1" t="s">
        <v>37</v>
      </c>
      <c r="H208" s="1" t="s">
        <v>921</v>
      </c>
      <c r="I208" s="1" t="s">
        <v>922</v>
      </c>
      <c r="J208" s="1" t="str">
        <f t="shared" si="1"/>
        <v>Non-Compliant</v>
      </c>
      <c r="K208" s="1" t="str">
        <f t="shared" si="2"/>
        <v>Non-Incentive</v>
      </c>
      <c r="L208" s="1" t="str">
        <f t="shared" si="3"/>
        <v>TUG</v>
      </c>
      <c r="M208" s="1">
        <f t="shared" si="4"/>
        <v>3</v>
      </c>
      <c r="N208" s="1">
        <f t="shared" si="5"/>
        <v>2017</v>
      </c>
    </row>
    <row r="209" ht="15.75" customHeight="1">
      <c r="A209" s="1" t="s">
        <v>14</v>
      </c>
      <c r="B209" s="1">
        <v>9029616.0</v>
      </c>
      <c r="C209" s="1" t="s">
        <v>923</v>
      </c>
      <c r="D209" s="1" t="s">
        <v>924</v>
      </c>
      <c r="E209" s="1" t="s">
        <v>925</v>
      </c>
      <c r="F209" s="1" t="s">
        <v>926</v>
      </c>
      <c r="G209" s="1" t="s">
        <v>19</v>
      </c>
      <c r="H209" s="1" t="s">
        <v>927</v>
      </c>
      <c r="I209" s="1" t="s">
        <v>928</v>
      </c>
      <c r="J209" s="1" t="str">
        <f t="shared" si="1"/>
        <v>Non-Compliant</v>
      </c>
      <c r="K209" s="1" t="str">
        <f t="shared" si="2"/>
        <v>Non-Incentive</v>
      </c>
      <c r="L209" s="1" t="str">
        <f t="shared" si="3"/>
        <v>TUG</v>
      </c>
      <c r="M209" s="1">
        <f t="shared" si="4"/>
        <v>3</v>
      </c>
      <c r="N209" s="1">
        <f t="shared" si="5"/>
        <v>2017</v>
      </c>
    </row>
    <row r="210" ht="15.75" customHeight="1">
      <c r="A210" s="1" t="s">
        <v>14</v>
      </c>
      <c r="B210" s="1">
        <v>9049883.0</v>
      </c>
      <c r="C210" s="1" t="s">
        <v>923</v>
      </c>
      <c r="D210" s="1" t="s">
        <v>929</v>
      </c>
      <c r="E210" s="1" t="s">
        <v>930</v>
      </c>
      <c r="F210" s="1" t="s">
        <v>931</v>
      </c>
      <c r="G210" s="1" t="s">
        <v>37</v>
      </c>
      <c r="H210" s="1" t="s">
        <v>932</v>
      </c>
      <c r="I210" s="1" t="s">
        <v>933</v>
      </c>
      <c r="J210" s="1" t="str">
        <f t="shared" si="1"/>
        <v>Non-Compliant</v>
      </c>
      <c r="K210" s="1" t="str">
        <f t="shared" si="2"/>
        <v>Non-Incentive</v>
      </c>
      <c r="L210" s="1" t="str">
        <f t="shared" si="3"/>
        <v>TUG</v>
      </c>
      <c r="M210" s="1">
        <f t="shared" si="4"/>
        <v>3</v>
      </c>
      <c r="N210" s="1">
        <f t="shared" si="5"/>
        <v>2017</v>
      </c>
    </row>
    <row r="211" ht="15.75" customHeight="1">
      <c r="A211" s="1" t="s">
        <v>14</v>
      </c>
      <c r="B211" s="1">
        <v>9064900.0</v>
      </c>
      <c r="C211" s="1" t="s">
        <v>934</v>
      </c>
      <c r="D211" s="1" t="s">
        <v>935</v>
      </c>
      <c r="E211" s="1" t="s">
        <v>936</v>
      </c>
      <c r="F211" s="1" t="s">
        <v>937</v>
      </c>
      <c r="G211" s="1" t="s">
        <v>19</v>
      </c>
      <c r="H211" s="1" t="s">
        <v>938</v>
      </c>
      <c r="I211" s="1" t="s">
        <v>939</v>
      </c>
      <c r="J211" s="1" t="str">
        <f t="shared" si="1"/>
        <v>Non-Compliant</v>
      </c>
      <c r="K211" s="1" t="str">
        <f t="shared" si="2"/>
        <v>Non-Incentive</v>
      </c>
      <c r="L211" s="1" t="str">
        <f t="shared" si="3"/>
        <v>TUG</v>
      </c>
      <c r="M211" s="1">
        <f t="shared" si="4"/>
        <v>3</v>
      </c>
      <c r="N211" s="1">
        <f t="shared" si="5"/>
        <v>2017</v>
      </c>
    </row>
    <row r="212" ht="15.75" customHeight="1">
      <c r="A212" s="1" t="s">
        <v>14</v>
      </c>
      <c r="B212" s="1">
        <v>9073097.0</v>
      </c>
      <c r="C212" s="1" t="s">
        <v>934</v>
      </c>
      <c r="D212" s="1" t="s">
        <v>940</v>
      </c>
      <c r="E212" s="1" t="s">
        <v>941</v>
      </c>
      <c r="F212" s="1" t="s">
        <v>942</v>
      </c>
      <c r="G212" s="1" t="s">
        <v>37</v>
      </c>
      <c r="H212" s="1" t="s">
        <v>943</v>
      </c>
      <c r="I212" s="1" t="s">
        <v>944</v>
      </c>
      <c r="J212" s="1" t="str">
        <f t="shared" si="1"/>
        <v>Non-Compliant</v>
      </c>
      <c r="K212" s="1" t="str">
        <f t="shared" si="2"/>
        <v>Non-Incentive</v>
      </c>
      <c r="L212" s="1" t="str">
        <f t="shared" si="3"/>
        <v>TUG</v>
      </c>
      <c r="M212" s="1">
        <f t="shared" si="4"/>
        <v>3</v>
      </c>
      <c r="N212" s="1">
        <f t="shared" si="5"/>
        <v>2017</v>
      </c>
    </row>
    <row r="213" ht="15.75" customHeight="1">
      <c r="A213" s="1" t="s">
        <v>14</v>
      </c>
      <c r="B213" s="1">
        <v>9086361.0</v>
      </c>
      <c r="C213" s="1" t="s">
        <v>945</v>
      </c>
      <c r="D213" s="1" t="s">
        <v>946</v>
      </c>
      <c r="E213" s="1" t="s">
        <v>947</v>
      </c>
      <c r="F213" s="1" t="s">
        <v>948</v>
      </c>
      <c r="G213" s="1" t="s">
        <v>37</v>
      </c>
      <c r="H213" s="1" t="s">
        <v>949</v>
      </c>
      <c r="I213" s="1" t="s">
        <v>950</v>
      </c>
      <c r="J213" s="1" t="str">
        <f t="shared" si="1"/>
        <v>Non-Compliant</v>
      </c>
      <c r="K213" s="1" t="str">
        <f t="shared" si="2"/>
        <v>Non-Incentive</v>
      </c>
      <c r="L213" s="1" t="str">
        <f t="shared" si="3"/>
        <v>TUG</v>
      </c>
      <c r="M213" s="1">
        <f t="shared" si="4"/>
        <v>3</v>
      </c>
      <c r="N213" s="1">
        <f t="shared" si="5"/>
        <v>2017</v>
      </c>
    </row>
    <row r="214" ht="15.75" customHeight="1">
      <c r="A214" s="1" t="s">
        <v>14</v>
      </c>
      <c r="B214" s="1">
        <v>9089004.0</v>
      </c>
      <c r="C214" s="1" t="s">
        <v>945</v>
      </c>
      <c r="D214" s="1" t="s">
        <v>951</v>
      </c>
      <c r="E214" s="1" t="s">
        <v>913</v>
      </c>
      <c r="F214" s="1" t="s">
        <v>952</v>
      </c>
      <c r="G214" s="1" t="s">
        <v>19</v>
      </c>
      <c r="H214" s="1" t="s">
        <v>953</v>
      </c>
      <c r="I214" s="1" t="s">
        <v>954</v>
      </c>
      <c r="J214" s="1" t="str">
        <f t="shared" si="1"/>
        <v>Non-Compliant</v>
      </c>
      <c r="K214" s="1" t="str">
        <f t="shared" si="2"/>
        <v>Non-Incentive</v>
      </c>
      <c r="L214" s="1" t="str">
        <f t="shared" si="3"/>
        <v>TUG</v>
      </c>
      <c r="M214" s="1">
        <f t="shared" si="4"/>
        <v>3</v>
      </c>
      <c r="N214" s="1">
        <f t="shared" si="5"/>
        <v>2017</v>
      </c>
    </row>
    <row r="215" ht="15.75" customHeight="1">
      <c r="A215" s="1" t="s">
        <v>14</v>
      </c>
      <c r="B215" s="1">
        <v>9093386.0</v>
      </c>
      <c r="C215" s="1" t="s">
        <v>945</v>
      </c>
      <c r="D215" s="1" t="s">
        <v>955</v>
      </c>
      <c r="E215" s="1" t="s">
        <v>936</v>
      </c>
      <c r="F215" s="1" t="s">
        <v>956</v>
      </c>
      <c r="G215" s="1" t="s">
        <v>19</v>
      </c>
      <c r="H215" s="1" t="s">
        <v>957</v>
      </c>
      <c r="I215" s="1" t="s">
        <v>958</v>
      </c>
      <c r="J215" s="1" t="str">
        <f t="shared" si="1"/>
        <v>Non-Compliant</v>
      </c>
      <c r="K215" s="1" t="str">
        <f t="shared" si="2"/>
        <v>Non-Incentive</v>
      </c>
      <c r="L215" s="1" t="str">
        <f t="shared" si="3"/>
        <v>TUG</v>
      </c>
      <c r="M215" s="1">
        <f t="shared" si="4"/>
        <v>3</v>
      </c>
      <c r="N215" s="1">
        <f t="shared" si="5"/>
        <v>2017</v>
      </c>
    </row>
    <row r="216" ht="15.75" customHeight="1">
      <c r="A216" s="1" t="s">
        <v>14</v>
      </c>
      <c r="B216" s="1">
        <v>9096262.0</v>
      </c>
      <c r="C216" s="1" t="s">
        <v>945</v>
      </c>
      <c r="D216" s="1" t="s">
        <v>959</v>
      </c>
      <c r="E216" s="1" t="s">
        <v>893</v>
      </c>
      <c r="F216" s="1" t="s">
        <v>960</v>
      </c>
      <c r="G216" s="1" t="s">
        <v>19</v>
      </c>
      <c r="H216" s="1" t="s">
        <v>961</v>
      </c>
      <c r="I216" s="1" t="s">
        <v>962</v>
      </c>
      <c r="J216" s="1" t="str">
        <f t="shared" si="1"/>
        <v>Non-Compliant</v>
      </c>
      <c r="K216" s="1" t="str">
        <f t="shared" si="2"/>
        <v>Non-Incentive</v>
      </c>
      <c r="L216" s="1" t="str">
        <f t="shared" si="3"/>
        <v>TUG</v>
      </c>
      <c r="M216" s="1">
        <f t="shared" si="4"/>
        <v>3</v>
      </c>
      <c r="N216" s="1">
        <f t="shared" si="5"/>
        <v>2017</v>
      </c>
    </row>
    <row r="217" ht="15.75" customHeight="1">
      <c r="A217" s="1" t="s">
        <v>14</v>
      </c>
      <c r="B217" s="1">
        <v>9098433.0</v>
      </c>
      <c r="C217" s="1" t="s">
        <v>945</v>
      </c>
      <c r="D217" s="1" t="s">
        <v>963</v>
      </c>
      <c r="E217" s="1" t="s">
        <v>900</v>
      </c>
      <c r="F217" s="1" t="s">
        <v>964</v>
      </c>
      <c r="G217" s="1" t="s">
        <v>19</v>
      </c>
      <c r="H217" s="1" t="s">
        <v>965</v>
      </c>
      <c r="I217" s="1" t="s">
        <v>939</v>
      </c>
      <c r="J217" s="1" t="str">
        <f t="shared" si="1"/>
        <v>Non-Compliant</v>
      </c>
      <c r="K217" s="1" t="str">
        <f t="shared" si="2"/>
        <v>Non-Incentive</v>
      </c>
      <c r="L217" s="1" t="str">
        <f t="shared" si="3"/>
        <v>TUG</v>
      </c>
      <c r="M217" s="1">
        <f t="shared" si="4"/>
        <v>3</v>
      </c>
      <c r="N217" s="1">
        <f t="shared" si="5"/>
        <v>2017</v>
      </c>
    </row>
    <row r="218" ht="15.75" customHeight="1">
      <c r="A218" s="1" t="s">
        <v>14</v>
      </c>
      <c r="B218" s="1">
        <v>9122323.0</v>
      </c>
      <c r="C218" s="1" t="s">
        <v>966</v>
      </c>
      <c r="D218" s="1" t="s">
        <v>967</v>
      </c>
      <c r="E218" s="1" t="s">
        <v>947</v>
      </c>
      <c r="F218" s="1" t="s">
        <v>964</v>
      </c>
      <c r="G218" s="1" t="s">
        <v>37</v>
      </c>
      <c r="H218" s="1" t="s">
        <v>968</v>
      </c>
      <c r="I218" s="1" t="s">
        <v>939</v>
      </c>
      <c r="J218" s="1" t="str">
        <f t="shared" si="1"/>
        <v>Non-Compliant</v>
      </c>
      <c r="K218" s="1" t="str">
        <f t="shared" si="2"/>
        <v>Non-Incentive</v>
      </c>
      <c r="L218" s="1" t="str">
        <f t="shared" si="3"/>
        <v>TUG</v>
      </c>
      <c r="M218" s="1">
        <f t="shared" si="4"/>
        <v>3</v>
      </c>
      <c r="N218" s="1">
        <f t="shared" si="5"/>
        <v>2017</v>
      </c>
    </row>
    <row r="219" ht="15.75" customHeight="1">
      <c r="A219" s="1" t="s">
        <v>14</v>
      </c>
      <c r="B219" s="1">
        <v>9131041.0</v>
      </c>
      <c r="C219" s="1" t="s">
        <v>966</v>
      </c>
      <c r="D219" s="1" t="s">
        <v>969</v>
      </c>
      <c r="E219" s="1" t="s">
        <v>970</v>
      </c>
      <c r="F219" s="1" t="s">
        <v>971</v>
      </c>
      <c r="G219" s="1" t="s">
        <v>37</v>
      </c>
      <c r="H219" s="1" t="s">
        <v>972</v>
      </c>
      <c r="I219" s="1" t="s">
        <v>973</v>
      </c>
      <c r="J219" s="1" t="str">
        <f t="shared" si="1"/>
        <v>Non-Compliant</v>
      </c>
      <c r="K219" s="1" t="str">
        <f t="shared" si="2"/>
        <v>Non-Incentive</v>
      </c>
      <c r="L219" s="1" t="str">
        <f t="shared" si="3"/>
        <v>TUG</v>
      </c>
      <c r="M219" s="1">
        <f t="shared" si="4"/>
        <v>3</v>
      </c>
      <c r="N219" s="1">
        <f t="shared" si="5"/>
        <v>2017</v>
      </c>
    </row>
    <row r="220" ht="15.75" customHeight="1">
      <c r="A220" s="1" t="s">
        <v>14</v>
      </c>
      <c r="B220" s="1">
        <v>9136843.0</v>
      </c>
      <c r="C220" s="1" t="s">
        <v>974</v>
      </c>
      <c r="D220" s="1" t="s">
        <v>975</v>
      </c>
      <c r="E220" s="1" t="s">
        <v>817</v>
      </c>
      <c r="F220" s="1" t="s">
        <v>976</v>
      </c>
      <c r="G220" s="1" t="s">
        <v>19</v>
      </c>
      <c r="H220" s="1" t="s">
        <v>977</v>
      </c>
      <c r="I220" s="1" t="s">
        <v>978</v>
      </c>
      <c r="J220" s="1" t="str">
        <f t="shared" si="1"/>
        <v>Non-Compliant</v>
      </c>
      <c r="K220" s="1" t="str">
        <f t="shared" si="2"/>
        <v>Non-Incentive</v>
      </c>
      <c r="L220" s="1" t="str">
        <f t="shared" si="3"/>
        <v>TUG</v>
      </c>
      <c r="M220" s="1">
        <f t="shared" si="4"/>
        <v>3</v>
      </c>
      <c r="N220" s="1">
        <f t="shared" si="5"/>
        <v>2017</v>
      </c>
    </row>
    <row r="221" ht="15.75" customHeight="1">
      <c r="A221" s="1" t="s">
        <v>14</v>
      </c>
      <c r="B221" s="1">
        <v>9137886.0</v>
      </c>
      <c r="C221" s="1" t="s">
        <v>974</v>
      </c>
      <c r="D221" s="1" t="s">
        <v>979</v>
      </c>
      <c r="E221" s="1" t="s">
        <v>941</v>
      </c>
      <c r="F221" s="1" t="s">
        <v>980</v>
      </c>
      <c r="G221" s="1" t="s">
        <v>37</v>
      </c>
      <c r="H221" s="1" t="s">
        <v>981</v>
      </c>
      <c r="I221" s="1" t="s">
        <v>982</v>
      </c>
      <c r="J221" s="1" t="str">
        <f t="shared" si="1"/>
        <v>Non-Compliant</v>
      </c>
      <c r="K221" s="1" t="str">
        <f t="shared" si="2"/>
        <v>Non-Incentive</v>
      </c>
      <c r="L221" s="1" t="str">
        <f t="shared" si="3"/>
        <v>TUG</v>
      </c>
      <c r="M221" s="1">
        <f t="shared" si="4"/>
        <v>3</v>
      </c>
      <c r="N221" s="1">
        <f t="shared" si="5"/>
        <v>2017</v>
      </c>
    </row>
    <row r="222" ht="15.75" customHeight="1">
      <c r="A222" s="1" t="s">
        <v>14</v>
      </c>
      <c r="B222" s="1">
        <v>9150741.0</v>
      </c>
      <c r="C222" s="1" t="s">
        <v>974</v>
      </c>
      <c r="D222" s="1" t="s">
        <v>983</v>
      </c>
      <c r="E222" s="1" t="s">
        <v>900</v>
      </c>
      <c r="F222" s="1" t="s">
        <v>984</v>
      </c>
      <c r="G222" s="1" t="s">
        <v>19</v>
      </c>
      <c r="H222" s="1" t="s">
        <v>985</v>
      </c>
      <c r="I222" s="1" t="s">
        <v>986</v>
      </c>
      <c r="J222" s="1" t="str">
        <f t="shared" si="1"/>
        <v>Non-Compliant</v>
      </c>
      <c r="K222" s="1" t="str">
        <f t="shared" si="2"/>
        <v>Non-Incentive</v>
      </c>
      <c r="L222" s="1" t="str">
        <f t="shared" si="3"/>
        <v>TUG</v>
      </c>
      <c r="M222" s="1">
        <f t="shared" si="4"/>
        <v>3</v>
      </c>
      <c r="N222" s="1">
        <f t="shared" si="5"/>
        <v>2017</v>
      </c>
    </row>
    <row r="223" ht="15.75" customHeight="1">
      <c r="A223" s="1" t="s">
        <v>14</v>
      </c>
      <c r="B223" s="1">
        <v>9161051.0</v>
      </c>
      <c r="C223" s="1" t="s">
        <v>987</v>
      </c>
      <c r="D223" s="1" t="s">
        <v>988</v>
      </c>
      <c r="E223" s="1" t="s">
        <v>989</v>
      </c>
      <c r="F223" s="1" t="s">
        <v>990</v>
      </c>
      <c r="G223" s="1" t="s">
        <v>37</v>
      </c>
      <c r="H223" s="1" t="s">
        <v>991</v>
      </c>
      <c r="I223" s="1" t="s">
        <v>992</v>
      </c>
      <c r="J223" s="1" t="str">
        <f t="shared" si="1"/>
        <v>Non-Compliant</v>
      </c>
      <c r="K223" s="1" t="str">
        <f t="shared" si="2"/>
        <v>Non-Incentive</v>
      </c>
      <c r="L223" s="1" t="str">
        <f t="shared" si="3"/>
        <v>TUG</v>
      </c>
      <c r="M223" s="1">
        <f t="shared" si="4"/>
        <v>3</v>
      </c>
      <c r="N223" s="1">
        <f t="shared" si="5"/>
        <v>2017</v>
      </c>
    </row>
    <row r="224" ht="15.75" customHeight="1">
      <c r="A224" s="1" t="s">
        <v>14</v>
      </c>
      <c r="B224" s="1">
        <v>9203657.0</v>
      </c>
      <c r="C224" s="1" t="s">
        <v>993</v>
      </c>
      <c r="D224" s="1" t="s">
        <v>994</v>
      </c>
      <c r="E224" s="1" t="s">
        <v>995</v>
      </c>
      <c r="F224" s="1" t="s">
        <v>996</v>
      </c>
      <c r="G224" s="1" t="s">
        <v>37</v>
      </c>
      <c r="H224" s="1" t="s">
        <v>997</v>
      </c>
      <c r="I224" s="1" t="s">
        <v>998</v>
      </c>
      <c r="J224" s="1" t="str">
        <f t="shared" si="1"/>
        <v>Non-Compliant</v>
      </c>
      <c r="K224" s="1" t="str">
        <f t="shared" si="2"/>
        <v>Non-Incentive</v>
      </c>
      <c r="L224" s="1" t="str">
        <f t="shared" si="3"/>
        <v>TUG</v>
      </c>
      <c r="M224" s="1">
        <f t="shared" si="4"/>
        <v>3</v>
      </c>
      <c r="N224" s="1">
        <f t="shared" si="5"/>
        <v>2017</v>
      </c>
    </row>
    <row r="225" ht="15.75" customHeight="1">
      <c r="A225" s="1" t="s">
        <v>14</v>
      </c>
      <c r="B225" s="1">
        <v>9212445.0</v>
      </c>
      <c r="C225" s="1" t="s">
        <v>999</v>
      </c>
      <c r="D225" s="1" t="s">
        <v>1000</v>
      </c>
      <c r="E225" s="1" t="s">
        <v>1001</v>
      </c>
      <c r="F225" s="1" t="s">
        <v>1002</v>
      </c>
      <c r="G225" s="1" t="s">
        <v>19</v>
      </c>
      <c r="H225" s="1" t="s">
        <v>1003</v>
      </c>
      <c r="I225" s="1" t="s">
        <v>1004</v>
      </c>
      <c r="J225" s="1" t="str">
        <f t="shared" si="1"/>
        <v>Non-Compliant</v>
      </c>
      <c r="K225" s="1" t="str">
        <f t="shared" si="2"/>
        <v>Non-Incentive</v>
      </c>
      <c r="L225" s="1" t="str">
        <f t="shared" si="3"/>
        <v>TUG</v>
      </c>
      <c r="M225" s="1">
        <f t="shared" si="4"/>
        <v>3</v>
      </c>
      <c r="N225" s="1">
        <f t="shared" si="5"/>
        <v>2017</v>
      </c>
    </row>
    <row r="226" ht="15.75" customHeight="1">
      <c r="A226" s="1" t="s">
        <v>14</v>
      </c>
      <c r="B226" s="1">
        <v>9225719.0</v>
      </c>
      <c r="C226" s="1" t="s">
        <v>999</v>
      </c>
      <c r="D226" s="1" t="s">
        <v>1005</v>
      </c>
      <c r="E226" s="1" t="s">
        <v>1006</v>
      </c>
      <c r="F226" s="1" t="s">
        <v>1007</v>
      </c>
      <c r="G226" s="1" t="s">
        <v>19</v>
      </c>
      <c r="H226" s="1" t="s">
        <v>1008</v>
      </c>
      <c r="I226" s="1" t="s">
        <v>32</v>
      </c>
      <c r="J226" s="1" t="str">
        <f t="shared" si="1"/>
        <v>Non-Compliant</v>
      </c>
      <c r="K226" s="1" t="str">
        <f t="shared" si="2"/>
        <v>Non-Incentive</v>
      </c>
      <c r="L226" s="1" t="str">
        <f t="shared" si="3"/>
        <v>TUG</v>
      </c>
      <c r="M226" s="1">
        <f t="shared" si="4"/>
        <v>3</v>
      </c>
      <c r="N226" s="1">
        <f t="shared" si="5"/>
        <v>2017</v>
      </c>
    </row>
    <row r="227" ht="15.75" customHeight="1">
      <c r="A227" s="1" t="s">
        <v>14</v>
      </c>
      <c r="B227" s="1">
        <v>9226280.0</v>
      </c>
      <c r="C227" s="1" t="s">
        <v>999</v>
      </c>
      <c r="D227" s="1" t="s">
        <v>1009</v>
      </c>
      <c r="E227" s="1" t="s">
        <v>1010</v>
      </c>
      <c r="F227" s="1" t="s">
        <v>1011</v>
      </c>
      <c r="G227" s="1" t="s">
        <v>19</v>
      </c>
      <c r="H227" s="1" t="s">
        <v>1012</v>
      </c>
      <c r="I227" s="1" t="s">
        <v>1013</v>
      </c>
      <c r="J227" s="1" t="str">
        <f t="shared" si="1"/>
        <v>Non-Compliant</v>
      </c>
      <c r="K227" s="1" t="str">
        <f t="shared" si="2"/>
        <v>Non-Incentive</v>
      </c>
      <c r="L227" s="1" t="str">
        <f t="shared" si="3"/>
        <v>TUG</v>
      </c>
      <c r="M227" s="1">
        <f t="shared" si="4"/>
        <v>3</v>
      </c>
      <c r="N227" s="1">
        <f t="shared" si="5"/>
        <v>2017</v>
      </c>
    </row>
    <row r="228" ht="15.75" customHeight="1">
      <c r="A228" s="1" t="s">
        <v>14</v>
      </c>
      <c r="B228" s="1">
        <v>9234919.0</v>
      </c>
      <c r="C228" s="1" t="s">
        <v>1014</v>
      </c>
      <c r="D228" s="1" t="s">
        <v>1015</v>
      </c>
      <c r="E228" s="1" t="s">
        <v>1016</v>
      </c>
      <c r="F228" s="1" t="s">
        <v>1017</v>
      </c>
      <c r="G228" s="1" t="s">
        <v>19</v>
      </c>
      <c r="H228" s="1" t="s">
        <v>1018</v>
      </c>
      <c r="I228" s="1" t="s">
        <v>891</v>
      </c>
      <c r="J228" s="1" t="str">
        <f t="shared" si="1"/>
        <v>Non-Compliant</v>
      </c>
      <c r="K228" s="1" t="str">
        <f t="shared" si="2"/>
        <v>Non-Incentive</v>
      </c>
      <c r="L228" s="1" t="str">
        <f t="shared" si="3"/>
        <v>TUG</v>
      </c>
      <c r="M228" s="1">
        <f t="shared" si="4"/>
        <v>3</v>
      </c>
      <c r="N228" s="1">
        <f t="shared" si="5"/>
        <v>2017</v>
      </c>
    </row>
    <row r="229" ht="15.75" customHeight="1">
      <c r="A229" s="1" t="s">
        <v>14</v>
      </c>
      <c r="B229" s="1">
        <v>9246037.0</v>
      </c>
      <c r="C229" s="1" t="s">
        <v>1014</v>
      </c>
      <c r="D229" s="1" t="s">
        <v>1019</v>
      </c>
      <c r="E229" s="1" t="s">
        <v>1020</v>
      </c>
      <c r="F229" s="1" t="s">
        <v>1021</v>
      </c>
      <c r="G229" s="1" t="s">
        <v>19</v>
      </c>
      <c r="H229" s="1" t="s">
        <v>1022</v>
      </c>
      <c r="I229" s="1" t="s">
        <v>1023</v>
      </c>
      <c r="J229" s="1" t="str">
        <f t="shared" si="1"/>
        <v>Non-Compliant</v>
      </c>
      <c r="K229" s="1" t="str">
        <f t="shared" si="2"/>
        <v>Non-Incentive</v>
      </c>
      <c r="L229" s="1" t="str">
        <f t="shared" si="3"/>
        <v>TUG</v>
      </c>
      <c r="M229" s="1">
        <f t="shared" si="4"/>
        <v>3</v>
      </c>
      <c r="N229" s="1">
        <f t="shared" si="5"/>
        <v>2017</v>
      </c>
    </row>
    <row r="230" ht="15.75" customHeight="1">
      <c r="A230" s="1" t="s">
        <v>14</v>
      </c>
      <c r="B230" s="1">
        <v>9312599.0</v>
      </c>
      <c r="C230" s="1" t="s">
        <v>1024</v>
      </c>
      <c r="D230" s="1" t="s">
        <v>1025</v>
      </c>
      <c r="E230" s="1" t="s">
        <v>1026</v>
      </c>
      <c r="F230" s="1" t="s">
        <v>1027</v>
      </c>
      <c r="G230" s="1" t="s">
        <v>37</v>
      </c>
      <c r="H230" s="1" t="s">
        <v>1028</v>
      </c>
      <c r="I230" s="1" t="s">
        <v>32</v>
      </c>
      <c r="J230" s="1" t="str">
        <f t="shared" si="1"/>
        <v>Non-Compliant</v>
      </c>
      <c r="K230" s="1" t="str">
        <f t="shared" si="2"/>
        <v>Non-Incentive</v>
      </c>
      <c r="L230" s="1" t="str">
        <f t="shared" si="3"/>
        <v>TUG</v>
      </c>
      <c r="M230" s="1">
        <f t="shared" si="4"/>
        <v>3</v>
      </c>
      <c r="N230" s="1">
        <f t="shared" si="5"/>
        <v>2017</v>
      </c>
    </row>
    <row r="231" ht="15.75" customHeight="1">
      <c r="A231" s="1" t="s">
        <v>14</v>
      </c>
      <c r="B231" s="1">
        <v>9323426.0</v>
      </c>
      <c r="C231" s="1" t="s">
        <v>1024</v>
      </c>
      <c r="D231" s="1" t="s">
        <v>1029</v>
      </c>
      <c r="E231" s="1" t="s">
        <v>1030</v>
      </c>
      <c r="F231" s="1" t="s">
        <v>1031</v>
      </c>
      <c r="G231" s="1" t="s">
        <v>19</v>
      </c>
      <c r="H231" s="1" t="s">
        <v>1032</v>
      </c>
      <c r="I231" s="1" t="s">
        <v>1033</v>
      </c>
      <c r="J231" s="1" t="str">
        <f t="shared" si="1"/>
        <v>Non-Compliant</v>
      </c>
      <c r="K231" s="1" t="str">
        <f t="shared" si="2"/>
        <v>Non-Incentive</v>
      </c>
      <c r="L231" s="1" t="str">
        <f t="shared" si="3"/>
        <v>TUG</v>
      </c>
      <c r="M231" s="1">
        <f t="shared" si="4"/>
        <v>3</v>
      </c>
      <c r="N231" s="1">
        <f t="shared" si="5"/>
        <v>2017</v>
      </c>
    </row>
    <row r="232" ht="15.75" customHeight="1">
      <c r="A232" s="1" t="s">
        <v>14</v>
      </c>
      <c r="B232" s="1">
        <v>9330767.0</v>
      </c>
      <c r="C232" s="1" t="s">
        <v>1024</v>
      </c>
      <c r="D232" s="1" t="s">
        <v>1034</v>
      </c>
      <c r="E232" s="1" t="s">
        <v>1035</v>
      </c>
      <c r="F232" s="1" t="s">
        <v>1036</v>
      </c>
      <c r="G232" s="1" t="s">
        <v>37</v>
      </c>
      <c r="H232" s="1" t="s">
        <v>1037</v>
      </c>
      <c r="I232" s="1" t="s">
        <v>998</v>
      </c>
      <c r="J232" s="1" t="str">
        <f t="shared" si="1"/>
        <v>Non-Compliant</v>
      </c>
      <c r="K232" s="1" t="str">
        <f t="shared" si="2"/>
        <v>Non-Incentive</v>
      </c>
      <c r="L232" s="1" t="str">
        <f t="shared" si="3"/>
        <v>TUG</v>
      </c>
      <c r="M232" s="1">
        <f t="shared" si="4"/>
        <v>3</v>
      </c>
      <c r="N232" s="1">
        <f t="shared" si="5"/>
        <v>2017</v>
      </c>
    </row>
    <row r="233" ht="15.75" customHeight="1">
      <c r="A233" s="1" t="s">
        <v>14</v>
      </c>
      <c r="B233" s="1">
        <v>9344909.0</v>
      </c>
      <c r="C233" s="1" t="s">
        <v>1038</v>
      </c>
      <c r="D233" s="1" t="s">
        <v>1039</v>
      </c>
      <c r="E233" s="1" t="s">
        <v>1026</v>
      </c>
      <c r="F233" s="1" t="s">
        <v>1040</v>
      </c>
      <c r="G233" s="1" t="s">
        <v>37</v>
      </c>
      <c r="H233" s="1" t="s">
        <v>1041</v>
      </c>
      <c r="I233" s="1" t="s">
        <v>1042</v>
      </c>
      <c r="J233" s="1" t="str">
        <f t="shared" si="1"/>
        <v>Non-Compliant</v>
      </c>
      <c r="K233" s="1" t="str">
        <f t="shared" si="2"/>
        <v>Non-Incentive</v>
      </c>
      <c r="L233" s="1" t="str">
        <f t="shared" si="3"/>
        <v>TUG</v>
      </c>
      <c r="M233" s="1">
        <f t="shared" si="4"/>
        <v>3</v>
      </c>
      <c r="N233" s="1">
        <f t="shared" si="5"/>
        <v>2017</v>
      </c>
    </row>
    <row r="234" ht="15.75" customHeight="1">
      <c r="A234" s="1" t="s">
        <v>14</v>
      </c>
      <c r="B234" s="1">
        <v>9346238.0</v>
      </c>
      <c r="C234" s="1" t="s">
        <v>1038</v>
      </c>
      <c r="D234" s="1" t="s">
        <v>1043</v>
      </c>
      <c r="E234" s="1" t="s">
        <v>1044</v>
      </c>
      <c r="F234" s="1" t="s">
        <v>1045</v>
      </c>
      <c r="G234" s="1" t="s">
        <v>37</v>
      </c>
      <c r="H234" s="1" t="s">
        <v>1046</v>
      </c>
      <c r="I234" s="1" t="s">
        <v>1047</v>
      </c>
      <c r="J234" s="1" t="str">
        <f t="shared" si="1"/>
        <v>Non-Compliant</v>
      </c>
      <c r="K234" s="1" t="str">
        <f t="shared" si="2"/>
        <v>Non-Incentive</v>
      </c>
      <c r="L234" s="1" t="str">
        <f t="shared" si="3"/>
        <v>TUG</v>
      </c>
      <c r="M234" s="1">
        <f t="shared" si="4"/>
        <v>3</v>
      </c>
      <c r="N234" s="1">
        <f t="shared" si="5"/>
        <v>2017</v>
      </c>
    </row>
    <row r="235" ht="15.75" customHeight="1">
      <c r="A235" s="1" t="s">
        <v>14</v>
      </c>
      <c r="B235" s="1">
        <v>9353344.0</v>
      </c>
      <c r="C235" s="1" t="s">
        <v>1038</v>
      </c>
      <c r="D235" s="1" t="s">
        <v>1048</v>
      </c>
      <c r="E235" s="1" t="s">
        <v>1035</v>
      </c>
      <c r="F235" s="1" t="s">
        <v>1049</v>
      </c>
      <c r="G235" s="1" t="s">
        <v>37</v>
      </c>
      <c r="H235" s="1" t="s">
        <v>1050</v>
      </c>
      <c r="I235" s="1" t="s">
        <v>1051</v>
      </c>
      <c r="J235" s="1" t="str">
        <f t="shared" si="1"/>
        <v>Non-Compliant</v>
      </c>
      <c r="K235" s="1" t="str">
        <f t="shared" si="2"/>
        <v>Non-Incentive</v>
      </c>
      <c r="L235" s="1" t="str">
        <f t="shared" si="3"/>
        <v>TUG</v>
      </c>
      <c r="M235" s="1">
        <f t="shared" si="4"/>
        <v>3</v>
      </c>
      <c r="N235" s="1">
        <f t="shared" si="5"/>
        <v>2017</v>
      </c>
    </row>
    <row r="236" ht="15.75" customHeight="1">
      <c r="A236" s="1" t="s">
        <v>14</v>
      </c>
      <c r="B236" s="1">
        <v>9361492.0</v>
      </c>
      <c r="C236" s="1" t="s">
        <v>1038</v>
      </c>
      <c r="D236" s="1" t="s">
        <v>1052</v>
      </c>
      <c r="E236" s="1" t="s">
        <v>1053</v>
      </c>
      <c r="F236" s="1" t="s">
        <v>1017</v>
      </c>
      <c r="G236" s="1" t="s">
        <v>37</v>
      </c>
      <c r="H236" s="1" t="s">
        <v>1054</v>
      </c>
      <c r="I236" s="1" t="s">
        <v>32</v>
      </c>
      <c r="J236" s="1" t="str">
        <f t="shared" si="1"/>
        <v>Non-Compliant</v>
      </c>
      <c r="K236" s="1" t="str">
        <f t="shared" si="2"/>
        <v>Non-Incentive</v>
      </c>
      <c r="L236" s="1" t="str">
        <f t="shared" si="3"/>
        <v>TUG</v>
      </c>
      <c r="M236" s="1">
        <f t="shared" si="4"/>
        <v>3</v>
      </c>
      <c r="N236" s="1">
        <f t="shared" si="5"/>
        <v>2017</v>
      </c>
    </row>
    <row r="237" ht="15.75" customHeight="1">
      <c r="A237" s="1" t="s">
        <v>14</v>
      </c>
      <c r="B237" s="1">
        <v>9425848.0</v>
      </c>
      <c r="C237" s="1" t="s">
        <v>1055</v>
      </c>
      <c r="D237" s="1" t="s">
        <v>1056</v>
      </c>
      <c r="E237" s="1" t="s">
        <v>1057</v>
      </c>
      <c r="F237" s="1" t="s">
        <v>1058</v>
      </c>
      <c r="G237" s="1" t="s">
        <v>1059</v>
      </c>
      <c r="H237" s="1" t="s">
        <v>1060</v>
      </c>
      <c r="I237" s="1" t="s">
        <v>250</v>
      </c>
      <c r="J237" s="1" t="str">
        <f t="shared" si="1"/>
        <v>Non-Compliant</v>
      </c>
      <c r="K237" s="1" t="str">
        <f t="shared" si="2"/>
        <v>Non-Incentive</v>
      </c>
      <c r="L237" s="1" t="str">
        <f t="shared" si="3"/>
        <v>TUG</v>
      </c>
      <c r="M237" s="1">
        <f t="shared" si="4"/>
        <v>3</v>
      </c>
      <c r="N237" s="1">
        <f t="shared" si="5"/>
        <v>2017</v>
      </c>
    </row>
    <row r="238" ht="15.75" customHeight="1">
      <c r="A238" s="1" t="s">
        <v>14</v>
      </c>
      <c r="B238" s="1">
        <v>9474719.0</v>
      </c>
      <c r="C238" s="1" t="s">
        <v>1061</v>
      </c>
      <c r="D238" s="1" t="s">
        <v>1062</v>
      </c>
      <c r="E238" s="1" t="s">
        <v>1063</v>
      </c>
      <c r="F238" s="1" t="s">
        <v>1064</v>
      </c>
      <c r="G238" s="1" t="s">
        <v>19</v>
      </c>
      <c r="H238" s="1" t="s">
        <v>1065</v>
      </c>
      <c r="I238" s="1" t="s">
        <v>1066</v>
      </c>
      <c r="J238" s="1" t="str">
        <f t="shared" si="1"/>
        <v>Non-Compliant</v>
      </c>
      <c r="K238" s="1" t="str">
        <f t="shared" si="2"/>
        <v>Non-Incentive</v>
      </c>
      <c r="L238" s="1" t="str">
        <f t="shared" si="3"/>
        <v>TUG</v>
      </c>
      <c r="M238" s="1">
        <f t="shared" si="4"/>
        <v>3</v>
      </c>
      <c r="N238" s="1">
        <f t="shared" si="5"/>
        <v>2017</v>
      </c>
    </row>
    <row r="239" ht="15.75" customHeight="1">
      <c r="A239" s="1" t="s">
        <v>14</v>
      </c>
      <c r="B239" s="1">
        <v>9492580.0</v>
      </c>
      <c r="C239" s="1" t="s">
        <v>1067</v>
      </c>
      <c r="D239" s="1" t="s">
        <v>1068</v>
      </c>
      <c r="E239" s="1" t="s">
        <v>1069</v>
      </c>
      <c r="F239" s="1" t="s">
        <v>1070</v>
      </c>
      <c r="G239" s="1" t="s">
        <v>19</v>
      </c>
      <c r="H239" s="1" t="s">
        <v>1071</v>
      </c>
      <c r="I239" s="1" t="s">
        <v>1072</v>
      </c>
      <c r="J239" s="1" t="str">
        <f t="shared" si="1"/>
        <v>Non-Compliant</v>
      </c>
      <c r="K239" s="1" t="str">
        <f t="shared" si="2"/>
        <v>Non-Incentive</v>
      </c>
      <c r="L239" s="1" t="str">
        <f t="shared" si="3"/>
        <v>TUG</v>
      </c>
      <c r="M239" s="1">
        <f t="shared" si="4"/>
        <v>3</v>
      </c>
      <c r="N239" s="1">
        <f t="shared" si="5"/>
        <v>2017</v>
      </c>
    </row>
    <row r="240" ht="15.75" customHeight="1">
      <c r="A240" s="1" t="s">
        <v>14</v>
      </c>
      <c r="B240" s="1">
        <v>9510284.0</v>
      </c>
      <c r="C240" s="1" t="s">
        <v>1067</v>
      </c>
      <c r="D240" s="1" t="s">
        <v>1073</v>
      </c>
      <c r="E240" s="1" t="s">
        <v>1074</v>
      </c>
      <c r="F240" s="1" t="s">
        <v>1075</v>
      </c>
      <c r="G240" s="1" t="s">
        <v>19</v>
      </c>
      <c r="H240" s="1" t="s">
        <v>1076</v>
      </c>
      <c r="I240" s="1" t="s">
        <v>1077</v>
      </c>
      <c r="J240" s="1" t="str">
        <f t="shared" si="1"/>
        <v>Non-Compliant</v>
      </c>
      <c r="K240" s="1" t="str">
        <f t="shared" si="2"/>
        <v>Non-Incentive</v>
      </c>
      <c r="L240" s="1" t="str">
        <f t="shared" si="3"/>
        <v>TUG</v>
      </c>
      <c r="M240" s="1">
        <f t="shared" si="4"/>
        <v>3</v>
      </c>
      <c r="N240" s="1">
        <f t="shared" si="5"/>
        <v>2017</v>
      </c>
    </row>
    <row r="241" ht="15.75" customHeight="1">
      <c r="A241" s="1" t="s">
        <v>14</v>
      </c>
      <c r="B241" s="1">
        <v>9522381.0</v>
      </c>
      <c r="C241" s="1" t="s">
        <v>1078</v>
      </c>
      <c r="D241" s="1" t="s">
        <v>1079</v>
      </c>
      <c r="E241" s="1" t="s">
        <v>1080</v>
      </c>
      <c r="F241" s="1" t="s">
        <v>1081</v>
      </c>
      <c r="G241" s="1" t="s">
        <v>37</v>
      </c>
      <c r="H241" s="1" t="s">
        <v>1082</v>
      </c>
      <c r="I241" s="1" t="s">
        <v>1083</v>
      </c>
      <c r="J241" s="1" t="str">
        <f t="shared" si="1"/>
        <v>Non-Compliant</v>
      </c>
      <c r="K241" s="1" t="str">
        <f t="shared" si="2"/>
        <v>Non-Incentive</v>
      </c>
      <c r="L241" s="1" t="str">
        <f t="shared" si="3"/>
        <v>TUG</v>
      </c>
      <c r="M241" s="1">
        <f t="shared" si="4"/>
        <v>3</v>
      </c>
      <c r="N241" s="1">
        <f t="shared" si="5"/>
        <v>2017</v>
      </c>
    </row>
    <row r="242" ht="15.75" customHeight="1">
      <c r="A242" s="1" t="s">
        <v>14</v>
      </c>
      <c r="B242" s="1">
        <v>9531547.0</v>
      </c>
      <c r="C242" s="1" t="s">
        <v>1078</v>
      </c>
      <c r="D242" s="1" t="s">
        <v>1084</v>
      </c>
      <c r="E242" s="1" t="s">
        <v>1085</v>
      </c>
      <c r="F242" s="1" t="s">
        <v>1086</v>
      </c>
      <c r="G242" s="1" t="s">
        <v>37</v>
      </c>
      <c r="H242" s="1" t="s">
        <v>1087</v>
      </c>
      <c r="I242" s="1" t="s">
        <v>1088</v>
      </c>
      <c r="J242" s="1" t="str">
        <f t="shared" si="1"/>
        <v>Non-Compliant</v>
      </c>
      <c r="K242" s="1" t="str">
        <f t="shared" si="2"/>
        <v>Non-Incentive</v>
      </c>
      <c r="L242" s="1" t="str">
        <f t="shared" si="3"/>
        <v>TUG</v>
      </c>
      <c r="M242" s="1">
        <f t="shared" si="4"/>
        <v>3</v>
      </c>
      <c r="N242" s="1">
        <f t="shared" si="5"/>
        <v>2017</v>
      </c>
    </row>
    <row r="243" ht="15.75" customHeight="1">
      <c r="A243" s="1" t="s">
        <v>14</v>
      </c>
      <c r="B243" s="1">
        <v>9535945.0</v>
      </c>
      <c r="C243" s="1" t="s">
        <v>1078</v>
      </c>
      <c r="D243" s="1" t="s">
        <v>1089</v>
      </c>
      <c r="E243" s="1" t="s">
        <v>1030</v>
      </c>
      <c r="F243" s="1" t="s">
        <v>1090</v>
      </c>
      <c r="G243" s="1" t="s">
        <v>19</v>
      </c>
      <c r="H243" s="1" t="s">
        <v>1091</v>
      </c>
      <c r="I243" s="1" t="s">
        <v>1092</v>
      </c>
      <c r="J243" s="1" t="str">
        <f t="shared" si="1"/>
        <v>Non-Compliant</v>
      </c>
      <c r="K243" s="1" t="str">
        <f t="shared" si="2"/>
        <v>Non-Incentive</v>
      </c>
      <c r="L243" s="1" t="str">
        <f t="shared" si="3"/>
        <v>TUG</v>
      </c>
      <c r="M243" s="1">
        <f t="shared" si="4"/>
        <v>3</v>
      </c>
      <c r="N243" s="1">
        <f t="shared" si="5"/>
        <v>2017</v>
      </c>
    </row>
    <row r="244" ht="15.75" customHeight="1">
      <c r="A244" s="1" t="s">
        <v>14</v>
      </c>
      <c r="B244" s="1">
        <v>9536682.0</v>
      </c>
      <c r="C244" s="1" t="s">
        <v>1078</v>
      </c>
      <c r="D244" s="1" t="s">
        <v>1093</v>
      </c>
      <c r="E244" s="1" t="s">
        <v>1094</v>
      </c>
      <c r="F244" s="1" t="s">
        <v>1095</v>
      </c>
      <c r="G244" s="1" t="s">
        <v>19</v>
      </c>
      <c r="H244" s="1" t="s">
        <v>1096</v>
      </c>
      <c r="I244" s="1" t="s">
        <v>1097</v>
      </c>
      <c r="J244" s="1" t="str">
        <f t="shared" si="1"/>
        <v>Non-Compliant</v>
      </c>
      <c r="K244" s="1" t="str">
        <f t="shared" si="2"/>
        <v>Non-Incentive</v>
      </c>
      <c r="L244" s="1" t="str">
        <f t="shared" si="3"/>
        <v>TUG</v>
      </c>
      <c r="M244" s="1">
        <f t="shared" si="4"/>
        <v>3</v>
      </c>
      <c r="N244" s="1">
        <f t="shared" si="5"/>
        <v>2017</v>
      </c>
    </row>
    <row r="245" ht="15.75" customHeight="1">
      <c r="A245" s="1" t="s">
        <v>14</v>
      </c>
      <c r="B245" s="1">
        <v>9565498.0</v>
      </c>
      <c r="C245" s="1" t="s">
        <v>1098</v>
      </c>
      <c r="D245" s="1" t="s">
        <v>1099</v>
      </c>
      <c r="E245" s="1" t="s">
        <v>1100</v>
      </c>
      <c r="F245" s="1" t="s">
        <v>1101</v>
      </c>
      <c r="G245" s="1" t="s">
        <v>37</v>
      </c>
      <c r="H245" s="1" t="s">
        <v>1102</v>
      </c>
      <c r="I245" s="1" t="s">
        <v>1103</v>
      </c>
      <c r="J245" s="1" t="str">
        <f t="shared" si="1"/>
        <v>Non-Compliant</v>
      </c>
      <c r="K245" s="1" t="str">
        <f t="shared" si="2"/>
        <v>Non-Incentive</v>
      </c>
      <c r="L245" s="1" t="str">
        <f t="shared" si="3"/>
        <v>TUG</v>
      </c>
      <c r="M245" s="1">
        <f t="shared" si="4"/>
        <v>3</v>
      </c>
      <c r="N245" s="1">
        <f t="shared" si="5"/>
        <v>2017</v>
      </c>
    </row>
    <row r="246" ht="15.75" customHeight="1">
      <c r="A246" s="1" t="s">
        <v>14</v>
      </c>
      <c r="B246" s="1">
        <v>9572277.0</v>
      </c>
      <c r="C246" s="1" t="s">
        <v>1098</v>
      </c>
      <c r="D246" s="1" t="s">
        <v>1104</v>
      </c>
      <c r="E246" s="1" t="s">
        <v>1105</v>
      </c>
      <c r="F246" s="1" t="s">
        <v>1106</v>
      </c>
      <c r="G246" s="1" t="s">
        <v>19</v>
      </c>
      <c r="H246" s="1" t="s">
        <v>1107</v>
      </c>
      <c r="I246" s="1" t="s">
        <v>1108</v>
      </c>
      <c r="J246" s="1" t="str">
        <f t="shared" si="1"/>
        <v>Non-Compliant</v>
      </c>
      <c r="K246" s="1" t="str">
        <f t="shared" si="2"/>
        <v>Non-Incentive</v>
      </c>
      <c r="L246" s="1" t="str">
        <f t="shared" si="3"/>
        <v>TUG</v>
      </c>
      <c r="M246" s="1">
        <f t="shared" si="4"/>
        <v>3</v>
      </c>
      <c r="N246" s="1">
        <f t="shared" si="5"/>
        <v>2017</v>
      </c>
    </row>
    <row r="247" ht="15.75" customHeight="1">
      <c r="A247" s="1" t="s">
        <v>14</v>
      </c>
      <c r="B247" s="1">
        <v>9575454.0</v>
      </c>
      <c r="C247" s="1" t="s">
        <v>1098</v>
      </c>
      <c r="D247" s="1" t="s">
        <v>1109</v>
      </c>
      <c r="E247" s="1" t="s">
        <v>1100</v>
      </c>
      <c r="F247" s="1" t="s">
        <v>1110</v>
      </c>
      <c r="G247" s="1" t="s">
        <v>37</v>
      </c>
      <c r="H247" s="1" t="s">
        <v>1111</v>
      </c>
      <c r="I247" s="1" t="s">
        <v>1112</v>
      </c>
      <c r="J247" s="1" t="str">
        <f t="shared" si="1"/>
        <v>Non-Compliant</v>
      </c>
      <c r="K247" s="1" t="str">
        <f t="shared" si="2"/>
        <v>Non-Incentive</v>
      </c>
      <c r="L247" s="1" t="str">
        <f t="shared" si="3"/>
        <v>TUG</v>
      </c>
      <c r="M247" s="1">
        <f t="shared" si="4"/>
        <v>3</v>
      </c>
      <c r="N247" s="1">
        <f t="shared" si="5"/>
        <v>2017</v>
      </c>
    </row>
    <row r="248" ht="15.75" customHeight="1">
      <c r="A248" s="1" t="s">
        <v>14</v>
      </c>
      <c r="B248" s="1">
        <v>9580505.0</v>
      </c>
      <c r="C248" s="1" t="s">
        <v>1098</v>
      </c>
      <c r="D248" s="1" t="s">
        <v>1113</v>
      </c>
      <c r="E248" s="1" t="s">
        <v>1114</v>
      </c>
      <c r="F248" s="1" t="s">
        <v>1115</v>
      </c>
      <c r="G248" s="1" t="s">
        <v>19</v>
      </c>
      <c r="H248" s="1" t="s">
        <v>1116</v>
      </c>
      <c r="I248" s="1" t="s">
        <v>1117</v>
      </c>
      <c r="J248" s="1" t="str">
        <f t="shared" si="1"/>
        <v>Non-Compliant</v>
      </c>
      <c r="K248" s="1" t="str">
        <f t="shared" si="2"/>
        <v>Non-Incentive</v>
      </c>
      <c r="L248" s="1" t="str">
        <f t="shared" si="3"/>
        <v>TUG</v>
      </c>
      <c r="M248" s="1">
        <f t="shared" si="4"/>
        <v>3</v>
      </c>
      <c r="N248" s="1">
        <f t="shared" si="5"/>
        <v>2017</v>
      </c>
    </row>
    <row r="249" ht="15.75" customHeight="1">
      <c r="A249" s="1" t="s">
        <v>14</v>
      </c>
      <c r="B249" s="1">
        <v>9597287.0</v>
      </c>
      <c r="C249" s="1" t="s">
        <v>1118</v>
      </c>
      <c r="D249" s="1" t="s">
        <v>1119</v>
      </c>
      <c r="E249" s="1" t="s">
        <v>1100</v>
      </c>
      <c r="F249" s="1" t="s">
        <v>1120</v>
      </c>
      <c r="G249" s="1" t="s">
        <v>37</v>
      </c>
      <c r="H249" s="1" t="s">
        <v>1121</v>
      </c>
      <c r="I249" s="1" t="s">
        <v>1122</v>
      </c>
      <c r="J249" s="1" t="str">
        <f t="shared" si="1"/>
        <v>Non-Compliant</v>
      </c>
      <c r="K249" s="1" t="str">
        <f t="shared" si="2"/>
        <v>Non-Incentive</v>
      </c>
      <c r="L249" s="1" t="str">
        <f t="shared" si="3"/>
        <v>TUG</v>
      </c>
      <c r="M249" s="1">
        <f t="shared" si="4"/>
        <v>3</v>
      </c>
      <c r="N249" s="1">
        <f t="shared" si="5"/>
        <v>2017</v>
      </c>
    </row>
    <row r="250" ht="15.75" customHeight="1">
      <c r="A250" s="1" t="s">
        <v>14</v>
      </c>
      <c r="B250" s="1">
        <v>9603076.0</v>
      </c>
      <c r="C250" s="1" t="s">
        <v>1118</v>
      </c>
      <c r="D250" s="1" t="s">
        <v>1123</v>
      </c>
      <c r="E250" s="1" t="s">
        <v>1124</v>
      </c>
      <c r="F250" s="1" t="s">
        <v>1125</v>
      </c>
      <c r="G250" s="1" t="s">
        <v>19</v>
      </c>
      <c r="H250" s="1" t="s">
        <v>1126</v>
      </c>
      <c r="I250" s="1" t="s">
        <v>1127</v>
      </c>
      <c r="J250" s="1" t="str">
        <f t="shared" si="1"/>
        <v>Non-Compliant</v>
      </c>
      <c r="K250" s="1" t="str">
        <f t="shared" si="2"/>
        <v>Non-Incentive</v>
      </c>
      <c r="L250" s="1" t="str">
        <f t="shared" si="3"/>
        <v>TUG</v>
      </c>
      <c r="M250" s="1">
        <f t="shared" si="4"/>
        <v>3</v>
      </c>
      <c r="N250" s="1">
        <f t="shared" si="5"/>
        <v>2017</v>
      </c>
    </row>
    <row r="251" ht="15.75" customHeight="1">
      <c r="A251" s="1" t="s">
        <v>14</v>
      </c>
      <c r="B251" s="1">
        <v>9612572.0</v>
      </c>
      <c r="C251" s="1" t="s">
        <v>1118</v>
      </c>
      <c r="D251" s="1" t="s">
        <v>1128</v>
      </c>
      <c r="E251" s="1" t="s">
        <v>1129</v>
      </c>
      <c r="F251" s="1" t="s">
        <v>1130</v>
      </c>
      <c r="G251" s="1" t="s">
        <v>19</v>
      </c>
      <c r="H251" s="1" t="s">
        <v>1131</v>
      </c>
      <c r="I251" s="1" t="s">
        <v>1132</v>
      </c>
      <c r="J251" s="1" t="str">
        <f t="shared" si="1"/>
        <v>Non-Compliant</v>
      </c>
      <c r="K251" s="1" t="str">
        <f t="shared" si="2"/>
        <v>Non-Incentive</v>
      </c>
      <c r="L251" s="1" t="str">
        <f t="shared" si="3"/>
        <v>TUG</v>
      </c>
      <c r="M251" s="1">
        <f t="shared" si="4"/>
        <v>3</v>
      </c>
      <c r="N251" s="1">
        <f t="shared" si="5"/>
        <v>2017</v>
      </c>
    </row>
    <row r="252" ht="15.75" customHeight="1">
      <c r="A252" s="1" t="s">
        <v>14</v>
      </c>
      <c r="B252" s="1">
        <v>9626392.0</v>
      </c>
      <c r="C252" s="1" t="s">
        <v>1133</v>
      </c>
      <c r="D252" s="1" t="s">
        <v>1134</v>
      </c>
      <c r="E252" s="1" t="s">
        <v>1135</v>
      </c>
      <c r="F252" s="1" t="s">
        <v>1136</v>
      </c>
      <c r="G252" s="1" t="s">
        <v>19</v>
      </c>
      <c r="H252" s="1" t="s">
        <v>1137</v>
      </c>
      <c r="I252" s="1" t="s">
        <v>1138</v>
      </c>
      <c r="J252" s="1" t="str">
        <f t="shared" si="1"/>
        <v>Non-Compliant</v>
      </c>
      <c r="K252" s="1" t="str">
        <f t="shared" si="2"/>
        <v>Non-Incentive</v>
      </c>
      <c r="L252" s="1" t="str">
        <f t="shared" si="3"/>
        <v>TUG</v>
      </c>
      <c r="M252" s="1">
        <f t="shared" si="4"/>
        <v>3</v>
      </c>
      <c r="N252" s="1">
        <f t="shared" si="5"/>
        <v>2017</v>
      </c>
    </row>
    <row r="253" ht="15.75" customHeight="1">
      <c r="A253" s="1" t="s">
        <v>14</v>
      </c>
      <c r="B253" s="1">
        <v>9653631.0</v>
      </c>
      <c r="C253" s="1" t="s">
        <v>1139</v>
      </c>
      <c r="D253" s="1" t="s">
        <v>1140</v>
      </c>
      <c r="E253" s="1" t="s">
        <v>1141</v>
      </c>
      <c r="F253" s="1" t="s">
        <v>1142</v>
      </c>
      <c r="G253" s="1" t="s">
        <v>19</v>
      </c>
      <c r="H253" s="1" t="s">
        <v>1143</v>
      </c>
      <c r="I253" s="1" t="s">
        <v>1144</v>
      </c>
      <c r="J253" s="1" t="str">
        <f t="shared" si="1"/>
        <v>Non-Compliant</v>
      </c>
      <c r="K253" s="1" t="str">
        <f t="shared" si="2"/>
        <v>Non-Incentive</v>
      </c>
      <c r="L253" s="1" t="str">
        <f t="shared" si="3"/>
        <v>TUG</v>
      </c>
      <c r="M253" s="1">
        <f t="shared" si="4"/>
        <v>3</v>
      </c>
      <c r="N253" s="1">
        <f t="shared" si="5"/>
        <v>2017</v>
      </c>
    </row>
    <row r="254" ht="15.75" customHeight="1">
      <c r="A254" s="1" t="s">
        <v>14</v>
      </c>
      <c r="B254" s="1">
        <v>9675183.0</v>
      </c>
      <c r="C254" s="1" t="s">
        <v>1145</v>
      </c>
      <c r="D254" s="1" t="s">
        <v>1146</v>
      </c>
      <c r="E254" s="1" t="s">
        <v>1147</v>
      </c>
      <c r="F254" s="1" t="s">
        <v>1148</v>
      </c>
      <c r="G254" s="1" t="s">
        <v>19</v>
      </c>
      <c r="H254" s="1" t="s">
        <v>1149</v>
      </c>
      <c r="I254" s="1" t="s">
        <v>32</v>
      </c>
      <c r="J254" s="1" t="str">
        <f t="shared" si="1"/>
        <v>Non-Compliant</v>
      </c>
      <c r="K254" s="1" t="str">
        <f t="shared" si="2"/>
        <v>Non-Incentive</v>
      </c>
      <c r="L254" s="1" t="str">
        <f t="shared" si="3"/>
        <v>TUG</v>
      </c>
      <c r="M254" s="1">
        <f t="shared" si="4"/>
        <v>3</v>
      </c>
      <c r="N254" s="1">
        <f t="shared" si="5"/>
        <v>2017</v>
      </c>
    </row>
    <row r="255" ht="15.75" customHeight="1">
      <c r="A255" s="1" t="s">
        <v>14</v>
      </c>
      <c r="B255" s="1">
        <v>9683009.0</v>
      </c>
      <c r="C255" s="1" t="s">
        <v>1145</v>
      </c>
      <c r="D255" s="1" t="s">
        <v>1150</v>
      </c>
      <c r="E255" s="1" t="s">
        <v>1129</v>
      </c>
      <c r="F255" s="1" t="s">
        <v>1151</v>
      </c>
      <c r="G255" s="1" t="s">
        <v>19</v>
      </c>
      <c r="H255" s="1" t="s">
        <v>1152</v>
      </c>
      <c r="I255" s="1" t="s">
        <v>1097</v>
      </c>
      <c r="J255" s="1" t="str">
        <f t="shared" si="1"/>
        <v>Non-Compliant</v>
      </c>
      <c r="K255" s="1" t="str">
        <f t="shared" si="2"/>
        <v>Non-Incentive</v>
      </c>
      <c r="L255" s="1" t="str">
        <f t="shared" si="3"/>
        <v>TUG</v>
      </c>
      <c r="M255" s="1">
        <f t="shared" si="4"/>
        <v>3</v>
      </c>
      <c r="N255" s="1">
        <f t="shared" si="5"/>
        <v>2017</v>
      </c>
    </row>
    <row r="256" ht="15.75" customHeight="1">
      <c r="A256" s="1" t="s">
        <v>14</v>
      </c>
      <c r="B256" s="1">
        <v>9683904.0</v>
      </c>
      <c r="C256" s="1" t="s">
        <v>1145</v>
      </c>
      <c r="D256" s="1" t="s">
        <v>1153</v>
      </c>
      <c r="E256" s="1" t="s">
        <v>1154</v>
      </c>
      <c r="F256" s="1" t="s">
        <v>1155</v>
      </c>
      <c r="G256" s="1" t="s">
        <v>37</v>
      </c>
      <c r="H256" s="1" t="s">
        <v>1156</v>
      </c>
      <c r="I256" s="1" t="s">
        <v>1157</v>
      </c>
      <c r="J256" s="1" t="str">
        <f t="shared" si="1"/>
        <v>Non-Compliant</v>
      </c>
      <c r="K256" s="1" t="str">
        <f t="shared" si="2"/>
        <v>Non-Incentive</v>
      </c>
      <c r="L256" s="1" t="str">
        <f t="shared" si="3"/>
        <v>TUG</v>
      </c>
      <c r="M256" s="1">
        <f t="shared" si="4"/>
        <v>3</v>
      </c>
      <c r="N256" s="1">
        <f t="shared" si="5"/>
        <v>2017</v>
      </c>
    </row>
    <row r="257" ht="15.75" customHeight="1">
      <c r="A257" s="1" t="s">
        <v>14</v>
      </c>
      <c r="B257" s="1">
        <v>9687200.0</v>
      </c>
      <c r="C257" s="1" t="s">
        <v>1145</v>
      </c>
      <c r="D257" s="1" t="s">
        <v>1158</v>
      </c>
      <c r="E257" s="1" t="s">
        <v>1135</v>
      </c>
      <c r="F257" s="1" t="s">
        <v>1159</v>
      </c>
      <c r="G257" s="1" t="s">
        <v>1160</v>
      </c>
      <c r="H257" s="1" t="s">
        <v>1161</v>
      </c>
      <c r="I257" s="1" t="s">
        <v>32</v>
      </c>
      <c r="J257" s="1" t="str">
        <f t="shared" si="1"/>
        <v>Non-Compliant</v>
      </c>
      <c r="K257" s="1" t="str">
        <f t="shared" si="2"/>
        <v>Non-Incentive</v>
      </c>
      <c r="L257" s="1" t="str">
        <f t="shared" si="3"/>
        <v>TUG</v>
      </c>
      <c r="M257" s="1">
        <f t="shared" si="4"/>
        <v>3</v>
      </c>
      <c r="N257" s="1">
        <f t="shared" si="5"/>
        <v>2017</v>
      </c>
    </row>
    <row r="258" ht="15.75" customHeight="1">
      <c r="A258" s="1" t="s">
        <v>14</v>
      </c>
      <c r="B258" s="1">
        <v>9721864.0</v>
      </c>
      <c r="C258" s="1" t="s">
        <v>1162</v>
      </c>
      <c r="D258" s="1" t="s">
        <v>1163</v>
      </c>
      <c r="E258" s="1" t="s">
        <v>1129</v>
      </c>
      <c r="F258" s="1" t="s">
        <v>1164</v>
      </c>
      <c r="G258" s="1" t="s">
        <v>19</v>
      </c>
      <c r="H258" s="1" t="s">
        <v>1165</v>
      </c>
      <c r="I258" s="1" t="s">
        <v>1166</v>
      </c>
      <c r="J258" s="1" t="str">
        <f t="shared" si="1"/>
        <v>Non-Compliant</v>
      </c>
      <c r="K258" s="1" t="str">
        <f t="shared" si="2"/>
        <v>Non-Incentive</v>
      </c>
      <c r="L258" s="1" t="str">
        <f t="shared" si="3"/>
        <v>TUG</v>
      </c>
      <c r="M258" s="1">
        <f t="shared" si="4"/>
        <v>3</v>
      </c>
      <c r="N258" s="1">
        <f t="shared" si="5"/>
        <v>2017</v>
      </c>
    </row>
    <row r="259" ht="15.75" customHeight="1">
      <c r="A259" s="1" t="s">
        <v>14</v>
      </c>
      <c r="B259" s="1">
        <v>9725059.0</v>
      </c>
      <c r="C259" s="1" t="s">
        <v>1162</v>
      </c>
      <c r="D259" s="1" t="s">
        <v>1167</v>
      </c>
      <c r="E259" s="1" t="s">
        <v>1105</v>
      </c>
      <c r="F259" s="1" t="s">
        <v>1115</v>
      </c>
      <c r="G259" s="1" t="s">
        <v>19</v>
      </c>
      <c r="H259" s="1" t="s">
        <v>1168</v>
      </c>
      <c r="I259" s="1" t="s">
        <v>1169</v>
      </c>
      <c r="J259" s="1" t="str">
        <f t="shared" si="1"/>
        <v>Non-Compliant</v>
      </c>
      <c r="K259" s="1" t="str">
        <f t="shared" si="2"/>
        <v>Non-Incentive</v>
      </c>
      <c r="L259" s="1" t="str">
        <f t="shared" si="3"/>
        <v>TUG</v>
      </c>
      <c r="M259" s="1">
        <f t="shared" si="4"/>
        <v>3</v>
      </c>
      <c r="N259" s="1">
        <f t="shared" si="5"/>
        <v>2017</v>
      </c>
    </row>
    <row r="260" ht="15.75" customHeight="1">
      <c r="A260" s="1" t="s">
        <v>14</v>
      </c>
      <c r="B260" s="1">
        <v>9731029.0</v>
      </c>
      <c r="C260" s="1" t="s">
        <v>1162</v>
      </c>
      <c r="D260" s="1" t="s">
        <v>1170</v>
      </c>
      <c r="E260" s="1" t="s">
        <v>1105</v>
      </c>
      <c r="F260" s="1" t="s">
        <v>1171</v>
      </c>
      <c r="G260" s="1" t="s">
        <v>19</v>
      </c>
      <c r="H260" s="1" t="s">
        <v>1172</v>
      </c>
      <c r="I260" s="1" t="s">
        <v>1173</v>
      </c>
      <c r="J260" s="1" t="str">
        <f t="shared" si="1"/>
        <v>Non-Compliant</v>
      </c>
      <c r="K260" s="1" t="str">
        <f t="shared" si="2"/>
        <v>Non-Incentive</v>
      </c>
      <c r="L260" s="1" t="str">
        <f t="shared" si="3"/>
        <v>TUG</v>
      </c>
      <c r="M260" s="1">
        <f t="shared" si="4"/>
        <v>3</v>
      </c>
      <c r="N260" s="1">
        <f t="shared" si="5"/>
        <v>2017</v>
      </c>
    </row>
    <row r="261" ht="15.75" customHeight="1">
      <c r="A261" s="1" t="s">
        <v>14</v>
      </c>
      <c r="B261" s="1">
        <v>9736929.0</v>
      </c>
      <c r="C261" s="1" t="s">
        <v>1174</v>
      </c>
      <c r="D261" s="1" t="s">
        <v>1175</v>
      </c>
      <c r="E261" s="1" t="s">
        <v>1129</v>
      </c>
      <c r="F261" s="1" t="s">
        <v>1176</v>
      </c>
      <c r="G261" s="1" t="s">
        <v>19</v>
      </c>
      <c r="H261" s="1" t="s">
        <v>1177</v>
      </c>
      <c r="I261" s="1" t="s">
        <v>1178</v>
      </c>
      <c r="J261" s="1" t="str">
        <f t="shared" si="1"/>
        <v>Non-Compliant</v>
      </c>
      <c r="K261" s="1" t="str">
        <f t="shared" si="2"/>
        <v>Non-Incentive</v>
      </c>
      <c r="L261" s="1" t="str">
        <f t="shared" si="3"/>
        <v>TUG</v>
      </c>
      <c r="M261" s="1">
        <f t="shared" si="4"/>
        <v>3</v>
      </c>
      <c r="N261" s="1">
        <f t="shared" si="5"/>
        <v>2017</v>
      </c>
    </row>
    <row r="262" ht="15.75" customHeight="1">
      <c r="A262" s="1" t="s">
        <v>14</v>
      </c>
      <c r="B262" s="1">
        <v>9738912.0</v>
      </c>
      <c r="C262" s="1" t="s">
        <v>1174</v>
      </c>
      <c r="D262" s="1" t="s">
        <v>1179</v>
      </c>
      <c r="E262" s="1" t="s">
        <v>1180</v>
      </c>
      <c r="F262" s="1" t="s">
        <v>1181</v>
      </c>
      <c r="G262" s="1" t="s">
        <v>19</v>
      </c>
      <c r="H262" s="1" t="s">
        <v>1182</v>
      </c>
      <c r="I262" s="1" t="s">
        <v>1183</v>
      </c>
      <c r="J262" s="1" t="str">
        <f t="shared" si="1"/>
        <v>Non-Compliant</v>
      </c>
      <c r="K262" s="1" t="str">
        <f t="shared" si="2"/>
        <v>Non-Incentive</v>
      </c>
      <c r="L262" s="1" t="str">
        <f t="shared" si="3"/>
        <v>TUG</v>
      </c>
      <c r="M262" s="1">
        <f t="shared" si="4"/>
        <v>3</v>
      </c>
      <c r="N262" s="1">
        <f t="shared" si="5"/>
        <v>2017</v>
      </c>
    </row>
    <row r="263" ht="15.75" customHeight="1">
      <c r="A263" s="1" t="s">
        <v>14</v>
      </c>
      <c r="B263" s="1">
        <v>9741196.0</v>
      </c>
      <c r="C263" s="1" t="s">
        <v>1174</v>
      </c>
      <c r="D263" s="1" t="s">
        <v>1184</v>
      </c>
      <c r="E263" s="1" t="s">
        <v>1105</v>
      </c>
      <c r="F263" s="1" t="s">
        <v>1185</v>
      </c>
      <c r="G263" s="1" t="s">
        <v>19</v>
      </c>
      <c r="H263" s="1" t="s">
        <v>1186</v>
      </c>
      <c r="I263" s="1" t="s">
        <v>1187</v>
      </c>
      <c r="J263" s="1" t="str">
        <f t="shared" si="1"/>
        <v>Non-Compliant</v>
      </c>
      <c r="K263" s="1" t="str">
        <f t="shared" si="2"/>
        <v>Non-Incentive</v>
      </c>
      <c r="L263" s="1" t="str">
        <f t="shared" si="3"/>
        <v>TUG</v>
      </c>
      <c r="M263" s="1">
        <f t="shared" si="4"/>
        <v>3</v>
      </c>
      <c r="N263" s="1">
        <f t="shared" si="5"/>
        <v>2017</v>
      </c>
    </row>
    <row r="264" ht="15.75" customHeight="1">
      <c r="A264" s="1" t="s">
        <v>14</v>
      </c>
      <c r="B264" s="1">
        <v>9776960.0</v>
      </c>
      <c r="C264" s="1" t="s">
        <v>1188</v>
      </c>
      <c r="D264" s="1" t="s">
        <v>1189</v>
      </c>
      <c r="E264" s="1" t="s">
        <v>1190</v>
      </c>
      <c r="F264" s="1" t="s">
        <v>1191</v>
      </c>
      <c r="G264" s="1" t="s">
        <v>19</v>
      </c>
      <c r="H264" s="1" t="s">
        <v>1192</v>
      </c>
      <c r="I264" s="1" t="s">
        <v>1193</v>
      </c>
      <c r="J264" s="1" t="str">
        <f t="shared" si="1"/>
        <v>Non-Compliant</v>
      </c>
      <c r="K264" s="1" t="str">
        <f t="shared" si="2"/>
        <v>Non-Incentive</v>
      </c>
      <c r="L264" s="1" t="str">
        <f t="shared" si="3"/>
        <v>TUG</v>
      </c>
      <c r="M264" s="1">
        <f t="shared" si="4"/>
        <v>3</v>
      </c>
      <c r="N264" s="1">
        <f t="shared" si="5"/>
        <v>2017</v>
      </c>
    </row>
    <row r="265" ht="15.75" customHeight="1">
      <c r="A265" s="1" t="s">
        <v>14</v>
      </c>
      <c r="B265" s="1">
        <v>9786910.0</v>
      </c>
      <c r="C265" s="1" t="s">
        <v>1194</v>
      </c>
      <c r="D265" s="1" t="s">
        <v>1195</v>
      </c>
      <c r="E265" s="1" t="s">
        <v>1114</v>
      </c>
      <c r="F265" s="1" t="s">
        <v>1196</v>
      </c>
      <c r="G265" s="1" t="s">
        <v>19</v>
      </c>
      <c r="H265" s="1" t="s">
        <v>1197</v>
      </c>
      <c r="I265" s="1" t="s">
        <v>1198</v>
      </c>
      <c r="J265" s="1" t="str">
        <f t="shared" si="1"/>
        <v>Non-Compliant</v>
      </c>
      <c r="K265" s="1" t="str">
        <f t="shared" si="2"/>
        <v>Non-Incentive</v>
      </c>
      <c r="L265" s="1" t="str">
        <f t="shared" si="3"/>
        <v>TUG</v>
      </c>
      <c r="M265" s="1">
        <f t="shared" si="4"/>
        <v>3</v>
      </c>
      <c r="N265" s="1">
        <f t="shared" si="5"/>
        <v>2017</v>
      </c>
    </row>
    <row r="266" ht="15.75" customHeight="1">
      <c r="A266" s="1" t="s">
        <v>14</v>
      </c>
      <c r="B266" s="1">
        <v>9791045.0</v>
      </c>
      <c r="C266" s="1" t="s">
        <v>1194</v>
      </c>
      <c r="D266" s="1" t="s">
        <v>1199</v>
      </c>
      <c r="E266" s="1" t="s">
        <v>1114</v>
      </c>
      <c r="F266" s="1" t="s">
        <v>1200</v>
      </c>
      <c r="G266" s="1" t="s">
        <v>1201</v>
      </c>
      <c r="H266" s="1" t="s">
        <v>1202</v>
      </c>
      <c r="I266" s="1" t="s">
        <v>1203</v>
      </c>
      <c r="J266" s="1" t="str">
        <f t="shared" si="1"/>
        <v>Non-Compliant</v>
      </c>
      <c r="K266" s="1" t="str">
        <f t="shared" si="2"/>
        <v>Non-Incentive</v>
      </c>
      <c r="L266" s="1" t="str">
        <f t="shared" si="3"/>
        <v>TUG</v>
      </c>
      <c r="M266" s="1">
        <f t="shared" si="4"/>
        <v>3</v>
      </c>
      <c r="N266" s="1">
        <f t="shared" si="5"/>
        <v>2017</v>
      </c>
    </row>
    <row r="267" ht="15.75" customHeight="1">
      <c r="A267" s="1" t="s">
        <v>14</v>
      </c>
      <c r="B267" s="1">
        <v>9802291.0</v>
      </c>
      <c r="C267" s="1" t="s">
        <v>1194</v>
      </c>
      <c r="D267" s="1" t="s">
        <v>1204</v>
      </c>
      <c r="E267" s="1" t="s">
        <v>1190</v>
      </c>
      <c r="F267" s="1" t="s">
        <v>1205</v>
      </c>
      <c r="G267" s="1" t="s">
        <v>19</v>
      </c>
      <c r="H267" s="1" t="s">
        <v>1206</v>
      </c>
      <c r="I267" s="1" t="s">
        <v>1207</v>
      </c>
      <c r="J267" s="1" t="str">
        <f t="shared" si="1"/>
        <v>Non-Compliant</v>
      </c>
      <c r="K267" s="1" t="str">
        <f t="shared" si="2"/>
        <v>Non-Incentive</v>
      </c>
      <c r="L267" s="1" t="str">
        <f t="shared" si="3"/>
        <v>TUG</v>
      </c>
      <c r="M267" s="1">
        <f t="shared" si="4"/>
        <v>3</v>
      </c>
      <c r="N267" s="1">
        <f t="shared" si="5"/>
        <v>2017</v>
      </c>
    </row>
    <row r="268" ht="15.75" customHeight="1">
      <c r="A268" s="1" t="s">
        <v>14</v>
      </c>
      <c r="B268" s="1">
        <v>9852487.0</v>
      </c>
      <c r="C268" s="1" t="s">
        <v>1208</v>
      </c>
      <c r="D268" s="1" t="s">
        <v>1209</v>
      </c>
      <c r="E268" s="1" t="s">
        <v>1210</v>
      </c>
      <c r="F268" s="1" t="s">
        <v>1211</v>
      </c>
      <c r="G268" s="1" t="s">
        <v>19</v>
      </c>
      <c r="H268" s="1" t="s">
        <v>1212</v>
      </c>
      <c r="I268" s="1" t="s">
        <v>1213</v>
      </c>
      <c r="J268" s="1" t="str">
        <f t="shared" si="1"/>
        <v>Non-Compliant</v>
      </c>
      <c r="K268" s="1" t="str">
        <f t="shared" si="2"/>
        <v>Non-Incentive</v>
      </c>
      <c r="L268" s="1" t="str">
        <f t="shared" si="3"/>
        <v>TUG</v>
      </c>
      <c r="M268" s="1">
        <f t="shared" si="4"/>
        <v>3</v>
      </c>
      <c r="N268" s="1">
        <f t="shared" si="5"/>
        <v>2017</v>
      </c>
    </row>
    <row r="269" ht="15.75" customHeight="1">
      <c r="A269" s="1" t="s">
        <v>14</v>
      </c>
      <c r="B269" s="1">
        <v>9929860.0</v>
      </c>
      <c r="C269" s="1" t="s">
        <v>1214</v>
      </c>
      <c r="D269" s="1" t="s">
        <v>1215</v>
      </c>
      <c r="E269" s="1" t="s">
        <v>1216</v>
      </c>
      <c r="F269" s="1" t="s">
        <v>1217</v>
      </c>
      <c r="G269" s="1" t="s">
        <v>1218</v>
      </c>
      <c r="H269" s="1" t="s">
        <v>1219</v>
      </c>
      <c r="I269" s="1" t="s">
        <v>1220</v>
      </c>
      <c r="J269" s="1" t="str">
        <f t="shared" si="1"/>
        <v>Non-Compliant</v>
      </c>
      <c r="K269" s="1" t="str">
        <f t="shared" si="2"/>
        <v>Non-Incentive</v>
      </c>
      <c r="L269" s="1" t="str">
        <f t="shared" si="3"/>
        <v>TUG</v>
      </c>
      <c r="M269" s="1">
        <f t="shared" si="4"/>
        <v>3</v>
      </c>
      <c r="N269" s="1">
        <f t="shared" si="5"/>
        <v>2017</v>
      </c>
    </row>
    <row r="270" ht="15.75" customHeight="1">
      <c r="A270" s="1" t="s">
        <v>14</v>
      </c>
      <c r="B270" s="1">
        <v>9949379.0</v>
      </c>
      <c r="C270" s="1" t="s">
        <v>1214</v>
      </c>
      <c r="D270" s="1" t="s">
        <v>1221</v>
      </c>
      <c r="E270" s="1" t="s">
        <v>1222</v>
      </c>
      <c r="F270" s="1" t="s">
        <v>1223</v>
      </c>
      <c r="G270" s="1" t="s">
        <v>19</v>
      </c>
      <c r="H270" s="1" t="s">
        <v>1224</v>
      </c>
      <c r="I270" s="1" t="s">
        <v>1132</v>
      </c>
      <c r="J270" s="1" t="str">
        <f t="shared" si="1"/>
        <v>Non-Compliant</v>
      </c>
      <c r="K270" s="1" t="str">
        <f t="shared" si="2"/>
        <v>Non-Incentive</v>
      </c>
      <c r="L270" s="1" t="str">
        <f t="shared" si="3"/>
        <v>TUG</v>
      </c>
      <c r="M270" s="1">
        <f t="shared" si="4"/>
        <v>3</v>
      </c>
      <c r="N270" s="1">
        <f t="shared" si="5"/>
        <v>2017</v>
      </c>
    </row>
    <row r="271" ht="15.75" customHeight="1">
      <c r="A271" s="1" t="s">
        <v>14</v>
      </c>
      <c r="B271" s="1">
        <v>9962200.0</v>
      </c>
      <c r="C271" s="1" t="s">
        <v>1225</v>
      </c>
      <c r="D271" s="1" t="s">
        <v>1226</v>
      </c>
      <c r="E271" s="1" t="s">
        <v>1227</v>
      </c>
      <c r="F271" s="1" t="s">
        <v>1228</v>
      </c>
      <c r="G271" s="1" t="s">
        <v>19</v>
      </c>
      <c r="H271" s="1" t="s">
        <v>1229</v>
      </c>
      <c r="I271" s="1" t="s">
        <v>32</v>
      </c>
      <c r="J271" s="1" t="str">
        <f t="shared" si="1"/>
        <v>Non-Compliant</v>
      </c>
      <c r="K271" s="1" t="str">
        <f t="shared" si="2"/>
        <v>Non-Incentive</v>
      </c>
      <c r="L271" s="1" t="str">
        <f t="shared" si="3"/>
        <v>TUG</v>
      </c>
      <c r="M271" s="1">
        <f t="shared" si="4"/>
        <v>3</v>
      </c>
      <c r="N271" s="1">
        <f t="shared" si="5"/>
        <v>2017</v>
      </c>
    </row>
    <row r="272" ht="15.75" customHeight="1">
      <c r="A272" s="1" t="s">
        <v>14</v>
      </c>
      <c r="B272" s="1">
        <v>9962305.0</v>
      </c>
      <c r="C272" s="1" t="s">
        <v>1225</v>
      </c>
      <c r="D272" s="1" t="s">
        <v>1230</v>
      </c>
      <c r="E272" s="1" t="s">
        <v>1231</v>
      </c>
      <c r="F272" s="1" t="s">
        <v>1232</v>
      </c>
      <c r="G272" s="1" t="s">
        <v>19</v>
      </c>
      <c r="H272" s="1" t="s">
        <v>1233</v>
      </c>
      <c r="I272" s="1" t="s">
        <v>32</v>
      </c>
      <c r="J272" s="1" t="str">
        <f t="shared" si="1"/>
        <v>Non-Compliant</v>
      </c>
      <c r="K272" s="1" t="str">
        <f t="shared" si="2"/>
        <v>Non-Incentive</v>
      </c>
      <c r="L272" s="1" t="str">
        <f t="shared" si="3"/>
        <v>TUG</v>
      </c>
      <c r="M272" s="1">
        <f t="shared" si="4"/>
        <v>3</v>
      </c>
      <c r="N272" s="1">
        <f t="shared" si="5"/>
        <v>2017</v>
      </c>
    </row>
    <row r="273" ht="15.75" customHeight="1">
      <c r="A273" s="1" t="s">
        <v>14</v>
      </c>
      <c r="B273" s="1">
        <v>1023575.0</v>
      </c>
      <c r="C273" s="1" t="s">
        <v>1234</v>
      </c>
      <c r="D273" s="1" t="s">
        <v>1235</v>
      </c>
      <c r="E273" s="1" t="s">
        <v>1236</v>
      </c>
      <c r="F273" s="1" t="s">
        <v>1237</v>
      </c>
      <c r="G273" s="1" t="s">
        <v>37</v>
      </c>
      <c r="H273" s="1" t="s">
        <v>1238</v>
      </c>
      <c r="I273" s="1" t="s">
        <v>1239</v>
      </c>
      <c r="J273" s="1" t="str">
        <f t="shared" si="1"/>
        <v>Non-Compliant</v>
      </c>
      <c r="K273" s="1" t="str">
        <f t="shared" si="2"/>
        <v>Non-Incentive</v>
      </c>
      <c r="L273" s="1" t="str">
        <f t="shared" si="3"/>
        <v>TUG</v>
      </c>
      <c r="M273" s="1">
        <f t="shared" si="4"/>
        <v>3</v>
      </c>
      <c r="N273" s="1">
        <f t="shared" si="5"/>
        <v>2017</v>
      </c>
    </row>
    <row r="274" ht="15.75" customHeight="1">
      <c r="A274" s="1" t="s">
        <v>14</v>
      </c>
      <c r="B274" s="1">
        <v>1031757.0</v>
      </c>
      <c r="C274" s="1" t="s">
        <v>1240</v>
      </c>
      <c r="D274" s="1" t="s">
        <v>1241</v>
      </c>
      <c r="E274" s="1" t="s">
        <v>1242</v>
      </c>
      <c r="F274" s="1" t="s">
        <v>1243</v>
      </c>
      <c r="G274" s="1" t="s">
        <v>19</v>
      </c>
      <c r="H274" s="1" t="s">
        <v>1244</v>
      </c>
      <c r="I274" s="1" t="s">
        <v>1245</v>
      </c>
      <c r="J274" s="1" t="str">
        <f t="shared" si="1"/>
        <v>Non-Compliant</v>
      </c>
      <c r="K274" s="1" t="str">
        <f t="shared" si="2"/>
        <v>Non-Incentive</v>
      </c>
      <c r="L274" s="1" t="str">
        <f t="shared" si="3"/>
        <v>TUG</v>
      </c>
      <c r="M274" s="1">
        <f t="shared" si="4"/>
        <v>3</v>
      </c>
      <c r="N274" s="1">
        <f t="shared" si="5"/>
        <v>2017</v>
      </c>
    </row>
    <row r="275" ht="15.75" customHeight="1">
      <c r="A275" s="1" t="s">
        <v>14</v>
      </c>
      <c r="B275" s="1">
        <v>1042281.0</v>
      </c>
      <c r="C275" s="1" t="s">
        <v>1240</v>
      </c>
      <c r="D275" s="1" t="s">
        <v>1246</v>
      </c>
      <c r="E275" s="1" t="s">
        <v>1247</v>
      </c>
      <c r="F275" s="1" t="s">
        <v>1248</v>
      </c>
      <c r="G275" s="1" t="s">
        <v>19</v>
      </c>
      <c r="H275" s="1" t="s">
        <v>1249</v>
      </c>
      <c r="I275" s="1" t="s">
        <v>1250</v>
      </c>
      <c r="J275" s="1" t="str">
        <f t="shared" si="1"/>
        <v>Non-Compliant</v>
      </c>
      <c r="K275" s="1" t="str">
        <f t="shared" si="2"/>
        <v>Non-Incentive</v>
      </c>
      <c r="L275" s="1" t="str">
        <f t="shared" si="3"/>
        <v>TUG</v>
      </c>
      <c r="M275" s="1">
        <f t="shared" si="4"/>
        <v>3</v>
      </c>
      <c r="N275" s="1">
        <f t="shared" si="5"/>
        <v>2017</v>
      </c>
    </row>
    <row r="276" ht="15.75" customHeight="1">
      <c r="A276" s="1" t="s">
        <v>14</v>
      </c>
      <c r="B276" s="1">
        <v>1046425.0</v>
      </c>
      <c r="C276" s="1" t="s">
        <v>1240</v>
      </c>
      <c r="D276" s="1" t="s">
        <v>1251</v>
      </c>
      <c r="E276" s="1" t="s">
        <v>1252</v>
      </c>
      <c r="F276" s="1" t="s">
        <v>1253</v>
      </c>
      <c r="G276" s="1" t="s">
        <v>1254</v>
      </c>
      <c r="H276" s="1" t="s">
        <v>1255</v>
      </c>
      <c r="I276" s="1" t="s">
        <v>1256</v>
      </c>
      <c r="J276" s="1" t="str">
        <f t="shared" si="1"/>
        <v>Non-Compliant</v>
      </c>
      <c r="K276" s="1" t="str">
        <f t="shared" si="2"/>
        <v>Non-Incentive</v>
      </c>
      <c r="L276" s="1" t="str">
        <f t="shared" si="3"/>
        <v>TUG</v>
      </c>
      <c r="M276" s="1">
        <f t="shared" si="4"/>
        <v>3</v>
      </c>
      <c r="N276" s="1">
        <f t="shared" si="5"/>
        <v>2017</v>
      </c>
    </row>
    <row r="277" ht="15.75" customHeight="1">
      <c r="A277" s="1" t="s">
        <v>14</v>
      </c>
      <c r="B277" s="1">
        <v>1054151.0</v>
      </c>
      <c r="C277" s="1" t="s">
        <v>1257</v>
      </c>
      <c r="D277" s="1" t="s">
        <v>1258</v>
      </c>
      <c r="E277" s="1" t="s">
        <v>1259</v>
      </c>
      <c r="F277" s="1" t="s">
        <v>1260</v>
      </c>
      <c r="G277" s="1" t="s">
        <v>19</v>
      </c>
      <c r="H277" s="1" t="s">
        <v>1261</v>
      </c>
      <c r="I277" s="1" t="s">
        <v>1262</v>
      </c>
      <c r="J277" s="1" t="str">
        <f t="shared" si="1"/>
        <v>Non-Compliant</v>
      </c>
      <c r="K277" s="1" t="str">
        <f t="shared" si="2"/>
        <v>Non-Incentive</v>
      </c>
      <c r="L277" s="1" t="str">
        <f t="shared" si="3"/>
        <v>TUG</v>
      </c>
      <c r="M277" s="1">
        <f t="shared" si="4"/>
        <v>3</v>
      </c>
      <c r="N277" s="1">
        <f t="shared" si="5"/>
        <v>2017</v>
      </c>
    </row>
    <row r="278" ht="15.75" customHeight="1">
      <c r="A278" s="1" t="s">
        <v>14</v>
      </c>
      <c r="B278" s="1">
        <v>1062588.0</v>
      </c>
      <c r="C278" s="1" t="s">
        <v>1257</v>
      </c>
      <c r="D278" s="1" t="s">
        <v>1263</v>
      </c>
      <c r="E278" s="1" t="s">
        <v>1264</v>
      </c>
      <c r="F278" s="1" t="s">
        <v>1265</v>
      </c>
      <c r="G278" s="1" t="s">
        <v>19</v>
      </c>
      <c r="H278" s="1" t="s">
        <v>1266</v>
      </c>
      <c r="I278" s="1" t="s">
        <v>1267</v>
      </c>
      <c r="J278" s="1" t="str">
        <f t="shared" si="1"/>
        <v>Non-Compliant</v>
      </c>
      <c r="K278" s="1" t="str">
        <f t="shared" si="2"/>
        <v>Non-Incentive</v>
      </c>
      <c r="L278" s="1" t="str">
        <f t="shared" si="3"/>
        <v>TUG</v>
      </c>
      <c r="M278" s="1">
        <f t="shared" si="4"/>
        <v>3</v>
      </c>
      <c r="N278" s="1">
        <f t="shared" si="5"/>
        <v>2017</v>
      </c>
    </row>
    <row r="279" ht="15.75" customHeight="1">
      <c r="A279" s="1" t="s">
        <v>14</v>
      </c>
      <c r="B279" s="1">
        <v>1064566.0</v>
      </c>
      <c r="C279" s="1" t="s">
        <v>1257</v>
      </c>
      <c r="D279" s="1" t="s">
        <v>1268</v>
      </c>
      <c r="E279" s="1" t="s">
        <v>1269</v>
      </c>
      <c r="F279" s="1" t="s">
        <v>1270</v>
      </c>
      <c r="G279" s="1" t="s">
        <v>1271</v>
      </c>
      <c r="H279" s="1" t="s">
        <v>1272</v>
      </c>
      <c r="I279" s="1" t="s">
        <v>111</v>
      </c>
      <c r="J279" s="1" t="str">
        <f t="shared" si="1"/>
        <v>Non-Compliant</v>
      </c>
      <c r="K279" s="1" t="str">
        <f t="shared" si="2"/>
        <v>Non-Incentive</v>
      </c>
      <c r="L279" s="1" t="str">
        <f t="shared" si="3"/>
        <v>TUG</v>
      </c>
      <c r="M279" s="1">
        <f t="shared" si="4"/>
        <v>3</v>
      </c>
      <c r="N279" s="1">
        <f t="shared" si="5"/>
        <v>2017</v>
      </c>
    </row>
    <row r="280" ht="15.75" customHeight="1">
      <c r="A280" s="1" t="s">
        <v>14</v>
      </c>
      <c r="B280" s="1">
        <v>1071189.0</v>
      </c>
      <c r="C280" s="1" t="s">
        <v>1257</v>
      </c>
      <c r="D280" s="1" t="s">
        <v>1273</v>
      </c>
      <c r="E280" s="1" t="s">
        <v>1247</v>
      </c>
      <c r="F280" s="1" t="s">
        <v>1274</v>
      </c>
      <c r="G280" s="1" t="s">
        <v>19</v>
      </c>
      <c r="H280" s="1" t="s">
        <v>1275</v>
      </c>
      <c r="I280" s="1" t="s">
        <v>1276</v>
      </c>
      <c r="J280" s="1" t="str">
        <f t="shared" si="1"/>
        <v>Non-Compliant</v>
      </c>
      <c r="K280" s="1" t="str">
        <f t="shared" si="2"/>
        <v>Non-Incentive</v>
      </c>
      <c r="L280" s="1" t="str">
        <f t="shared" si="3"/>
        <v>TUG</v>
      </c>
      <c r="M280" s="1">
        <f t="shared" si="4"/>
        <v>3</v>
      </c>
      <c r="N280" s="1">
        <f t="shared" si="5"/>
        <v>2017</v>
      </c>
    </row>
    <row r="281" ht="15.75" customHeight="1">
      <c r="A281" s="1" t="s">
        <v>14</v>
      </c>
      <c r="B281" s="1">
        <v>1071710.0</v>
      </c>
      <c r="C281" s="1" t="s">
        <v>1257</v>
      </c>
      <c r="D281" s="1" t="s">
        <v>1277</v>
      </c>
      <c r="E281" s="1" t="s">
        <v>1247</v>
      </c>
      <c r="F281" s="1" t="s">
        <v>1278</v>
      </c>
      <c r="G281" s="1" t="s">
        <v>19</v>
      </c>
      <c r="H281" s="1" t="s">
        <v>1279</v>
      </c>
      <c r="I281" s="1" t="s">
        <v>1280</v>
      </c>
      <c r="J281" s="1" t="str">
        <f t="shared" si="1"/>
        <v>Non-Compliant</v>
      </c>
      <c r="K281" s="1" t="str">
        <f t="shared" si="2"/>
        <v>Non-Incentive</v>
      </c>
      <c r="L281" s="1" t="str">
        <f t="shared" si="3"/>
        <v>TUG</v>
      </c>
      <c r="M281" s="1">
        <f t="shared" si="4"/>
        <v>3</v>
      </c>
      <c r="N281" s="1">
        <f t="shared" si="5"/>
        <v>2017</v>
      </c>
    </row>
    <row r="282" ht="15.75" customHeight="1">
      <c r="A282" s="1" t="s">
        <v>14</v>
      </c>
      <c r="B282" s="1">
        <v>1072758.0</v>
      </c>
      <c r="C282" s="1" t="s">
        <v>1257</v>
      </c>
      <c r="D282" s="1" t="s">
        <v>1281</v>
      </c>
      <c r="E282" s="1" t="s">
        <v>1259</v>
      </c>
      <c r="F282" s="1" t="s">
        <v>1282</v>
      </c>
      <c r="G282" s="1" t="s">
        <v>19</v>
      </c>
      <c r="H282" s="1" t="s">
        <v>1283</v>
      </c>
      <c r="I282" s="1" t="s">
        <v>1284</v>
      </c>
      <c r="J282" s="1" t="str">
        <f t="shared" si="1"/>
        <v>Non-Compliant</v>
      </c>
      <c r="K282" s="1" t="str">
        <f t="shared" si="2"/>
        <v>Non-Incentive</v>
      </c>
      <c r="L282" s="1" t="str">
        <f t="shared" si="3"/>
        <v>TUG</v>
      </c>
      <c r="M282" s="1">
        <f t="shared" si="4"/>
        <v>3</v>
      </c>
      <c r="N282" s="1">
        <f t="shared" si="5"/>
        <v>2017</v>
      </c>
    </row>
    <row r="283" ht="15.75" customHeight="1">
      <c r="A283" s="1" t="s">
        <v>14</v>
      </c>
      <c r="B283" s="1">
        <v>1073185.0</v>
      </c>
      <c r="C283" s="1" t="s">
        <v>1257</v>
      </c>
      <c r="D283" s="1" t="s">
        <v>1285</v>
      </c>
      <c r="E283" s="1" t="s">
        <v>1286</v>
      </c>
      <c r="F283" s="1" t="s">
        <v>1287</v>
      </c>
      <c r="G283" s="1" t="s">
        <v>37</v>
      </c>
      <c r="H283" s="1" t="s">
        <v>1288</v>
      </c>
      <c r="I283" s="1" t="s">
        <v>1289</v>
      </c>
      <c r="J283" s="1" t="str">
        <f t="shared" si="1"/>
        <v>Non-Compliant</v>
      </c>
      <c r="K283" s="1" t="str">
        <f t="shared" si="2"/>
        <v>Non-Incentive</v>
      </c>
      <c r="L283" s="1" t="str">
        <f t="shared" si="3"/>
        <v>TUG</v>
      </c>
      <c r="M283" s="1">
        <f t="shared" si="4"/>
        <v>3</v>
      </c>
      <c r="N283" s="1">
        <f t="shared" si="5"/>
        <v>2017</v>
      </c>
    </row>
    <row r="284" ht="15.75" customHeight="1">
      <c r="A284" s="1" t="s">
        <v>14</v>
      </c>
      <c r="B284" s="1">
        <v>1090894.0</v>
      </c>
      <c r="C284" s="1" t="s">
        <v>1290</v>
      </c>
      <c r="D284" s="1" t="s">
        <v>1291</v>
      </c>
      <c r="E284" s="1" t="s">
        <v>1292</v>
      </c>
      <c r="F284" s="1" t="s">
        <v>1293</v>
      </c>
      <c r="G284" s="1" t="s">
        <v>19</v>
      </c>
      <c r="H284" s="1" t="s">
        <v>1294</v>
      </c>
      <c r="I284" s="1" t="s">
        <v>32</v>
      </c>
      <c r="J284" s="1" t="str">
        <f t="shared" si="1"/>
        <v>Non-Compliant</v>
      </c>
      <c r="K284" s="1" t="str">
        <f t="shared" si="2"/>
        <v>Non-Incentive</v>
      </c>
      <c r="L284" s="1" t="str">
        <f t="shared" si="3"/>
        <v>TUG</v>
      </c>
      <c r="M284" s="1">
        <f t="shared" si="4"/>
        <v>3</v>
      </c>
      <c r="N284" s="1">
        <f t="shared" si="5"/>
        <v>2017</v>
      </c>
    </row>
    <row r="285" ht="15.75" customHeight="1">
      <c r="A285" s="1" t="s">
        <v>14</v>
      </c>
      <c r="B285" s="1">
        <v>1099071.0</v>
      </c>
      <c r="C285" s="1" t="s">
        <v>1290</v>
      </c>
      <c r="D285" s="1" t="s">
        <v>1295</v>
      </c>
      <c r="E285" s="1" t="s">
        <v>1269</v>
      </c>
      <c r="F285" s="1" t="s">
        <v>1296</v>
      </c>
      <c r="G285" s="1" t="s">
        <v>19</v>
      </c>
      <c r="H285" s="1" t="s">
        <v>1297</v>
      </c>
      <c r="I285" s="1" t="s">
        <v>1298</v>
      </c>
      <c r="J285" s="1" t="str">
        <f t="shared" si="1"/>
        <v>Non-Compliant</v>
      </c>
      <c r="K285" s="1" t="str">
        <f t="shared" si="2"/>
        <v>Non-Incentive</v>
      </c>
      <c r="L285" s="1" t="str">
        <f t="shared" si="3"/>
        <v>TUG</v>
      </c>
      <c r="M285" s="1">
        <f t="shared" si="4"/>
        <v>3</v>
      </c>
      <c r="N285" s="1">
        <f t="shared" si="5"/>
        <v>2017</v>
      </c>
    </row>
    <row r="286" ht="15.75" customHeight="1">
      <c r="A286" s="1" t="s">
        <v>14</v>
      </c>
      <c r="B286" s="1">
        <v>1168946.0</v>
      </c>
      <c r="C286" s="1" t="s">
        <v>1299</v>
      </c>
      <c r="D286" s="1" t="s">
        <v>1300</v>
      </c>
      <c r="E286" s="1" t="s">
        <v>1231</v>
      </c>
      <c r="F286" s="1" t="s">
        <v>1301</v>
      </c>
      <c r="G286" s="1" t="s">
        <v>19</v>
      </c>
      <c r="H286" s="1" t="s">
        <v>1302</v>
      </c>
      <c r="I286" s="1" t="s">
        <v>1303</v>
      </c>
      <c r="J286" s="1" t="str">
        <f t="shared" si="1"/>
        <v>Non-Compliant</v>
      </c>
      <c r="K286" s="1" t="str">
        <f t="shared" si="2"/>
        <v>Non-Incentive</v>
      </c>
      <c r="L286" s="1" t="str">
        <f t="shared" si="3"/>
        <v>TUG</v>
      </c>
      <c r="M286" s="1">
        <f t="shared" si="4"/>
        <v>3</v>
      </c>
      <c r="N286" s="1">
        <f t="shared" si="5"/>
        <v>2017</v>
      </c>
    </row>
    <row r="287" ht="15.75" customHeight="1">
      <c r="A287" s="1" t="s">
        <v>14</v>
      </c>
      <c r="B287" s="1">
        <v>1181054.0</v>
      </c>
      <c r="C287" s="1" t="s">
        <v>1304</v>
      </c>
      <c r="D287" s="1" t="s">
        <v>1305</v>
      </c>
      <c r="E287" s="1" t="s">
        <v>1306</v>
      </c>
      <c r="F287" s="1" t="s">
        <v>1307</v>
      </c>
      <c r="G287" s="1" t="s">
        <v>19</v>
      </c>
      <c r="H287" s="1" t="s">
        <v>1308</v>
      </c>
      <c r="I287" s="1" t="s">
        <v>1309</v>
      </c>
      <c r="J287" s="1" t="str">
        <f t="shared" si="1"/>
        <v>Non-Compliant</v>
      </c>
      <c r="K287" s="1" t="str">
        <f t="shared" si="2"/>
        <v>Non-Incentive</v>
      </c>
      <c r="L287" s="1" t="str">
        <f t="shared" si="3"/>
        <v>TUG</v>
      </c>
      <c r="M287" s="1">
        <f t="shared" si="4"/>
        <v>3</v>
      </c>
      <c r="N287" s="1">
        <f t="shared" si="5"/>
        <v>2017</v>
      </c>
    </row>
    <row r="288" ht="15.75" customHeight="1">
      <c r="A288" s="1" t="s">
        <v>14</v>
      </c>
      <c r="B288" s="1">
        <v>1192194.0</v>
      </c>
      <c r="C288" s="1" t="s">
        <v>1304</v>
      </c>
      <c r="D288" s="1" t="s">
        <v>1310</v>
      </c>
      <c r="E288" s="1" t="s">
        <v>1311</v>
      </c>
      <c r="F288" s="1" t="s">
        <v>1312</v>
      </c>
      <c r="G288" s="1" t="s">
        <v>19</v>
      </c>
      <c r="H288" s="1" t="s">
        <v>1313</v>
      </c>
      <c r="I288" s="1" t="s">
        <v>1314</v>
      </c>
      <c r="J288" s="1" t="str">
        <f t="shared" si="1"/>
        <v>Non-Compliant</v>
      </c>
      <c r="K288" s="1" t="str">
        <f t="shared" si="2"/>
        <v>Non-Incentive</v>
      </c>
      <c r="L288" s="1" t="str">
        <f t="shared" si="3"/>
        <v>TUG</v>
      </c>
      <c r="M288" s="1">
        <f t="shared" si="4"/>
        <v>3</v>
      </c>
      <c r="N288" s="1">
        <f t="shared" si="5"/>
        <v>2017</v>
      </c>
    </row>
    <row r="289" ht="15.75" customHeight="1">
      <c r="A289" s="1" t="s">
        <v>14</v>
      </c>
      <c r="B289" s="1">
        <v>1197442.0</v>
      </c>
      <c r="C289" s="1" t="s">
        <v>1304</v>
      </c>
      <c r="D289" s="1" t="s">
        <v>1315</v>
      </c>
      <c r="E289" s="1" t="s">
        <v>1316</v>
      </c>
      <c r="F289" s="1" t="s">
        <v>1317</v>
      </c>
      <c r="G289" s="1" t="s">
        <v>37</v>
      </c>
      <c r="H289" s="1" t="s">
        <v>1318</v>
      </c>
      <c r="I289" s="1" t="s">
        <v>1319</v>
      </c>
      <c r="J289" s="1" t="str">
        <f t="shared" si="1"/>
        <v>Non-Compliant</v>
      </c>
      <c r="K289" s="1" t="str">
        <f t="shared" si="2"/>
        <v>Non-Incentive</v>
      </c>
      <c r="L289" s="1" t="str">
        <f t="shared" si="3"/>
        <v>TUG</v>
      </c>
      <c r="M289" s="1">
        <f t="shared" si="4"/>
        <v>3</v>
      </c>
      <c r="N289" s="1">
        <f t="shared" si="5"/>
        <v>2017</v>
      </c>
    </row>
    <row r="290" ht="15.75" customHeight="1">
      <c r="A290" s="1" t="s">
        <v>14</v>
      </c>
      <c r="B290" s="1">
        <v>1206147.0</v>
      </c>
      <c r="C290" s="1" t="s">
        <v>1320</v>
      </c>
      <c r="D290" s="1" t="s">
        <v>1321</v>
      </c>
      <c r="E290" s="1" t="s">
        <v>1322</v>
      </c>
      <c r="F290" s="1" t="s">
        <v>1323</v>
      </c>
      <c r="G290" s="1" t="s">
        <v>37</v>
      </c>
      <c r="H290" s="1" t="s">
        <v>1324</v>
      </c>
      <c r="I290" s="1" t="s">
        <v>1325</v>
      </c>
      <c r="J290" s="1" t="str">
        <f t="shared" si="1"/>
        <v>Non-Compliant</v>
      </c>
      <c r="K290" s="1" t="str">
        <f t="shared" si="2"/>
        <v>Non-Incentive</v>
      </c>
      <c r="L290" s="1" t="str">
        <f t="shared" si="3"/>
        <v>TUG</v>
      </c>
      <c r="M290" s="1">
        <f t="shared" si="4"/>
        <v>3</v>
      </c>
      <c r="N290" s="1">
        <f t="shared" si="5"/>
        <v>2017</v>
      </c>
    </row>
    <row r="291" ht="15.75" customHeight="1">
      <c r="A291" s="1" t="s">
        <v>14</v>
      </c>
      <c r="B291" s="1">
        <v>1220745.0</v>
      </c>
      <c r="C291" s="1" t="s">
        <v>1320</v>
      </c>
      <c r="D291" s="1" t="s">
        <v>1326</v>
      </c>
      <c r="E291" s="1" t="s">
        <v>1327</v>
      </c>
      <c r="F291" s="1" t="s">
        <v>1328</v>
      </c>
      <c r="G291" s="1" t="s">
        <v>19</v>
      </c>
      <c r="H291" s="1" t="s">
        <v>1329</v>
      </c>
      <c r="I291" s="1" t="s">
        <v>1330</v>
      </c>
      <c r="J291" s="1" t="str">
        <f t="shared" si="1"/>
        <v>Non-Compliant</v>
      </c>
      <c r="K291" s="1" t="str">
        <f t="shared" si="2"/>
        <v>Non-Incentive</v>
      </c>
      <c r="L291" s="1" t="str">
        <f t="shared" si="3"/>
        <v>TUG</v>
      </c>
      <c r="M291" s="1">
        <f t="shared" si="4"/>
        <v>3</v>
      </c>
      <c r="N291" s="1">
        <f t="shared" si="5"/>
        <v>2017</v>
      </c>
    </row>
    <row r="292" ht="15.75" customHeight="1">
      <c r="A292" s="1" t="s">
        <v>14</v>
      </c>
      <c r="B292" s="1">
        <v>1223298.0</v>
      </c>
      <c r="C292" s="1" t="s">
        <v>1320</v>
      </c>
      <c r="D292" s="1" t="s">
        <v>1331</v>
      </c>
      <c r="E292" s="1" t="s">
        <v>1332</v>
      </c>
      <c r="F292" s="1" t="s">
        <v>1333</v>
      </c>
      <c r="G292" s="1" t="s">
        <v>37</v>
      </c>
      <c r="H292" s="1" t="s">
        <v>1334</v>
      </c>
      <c r="I292" s="1" t="s">
        <v>32</v>
      </c>
      <c r="J292" s="1" t="str">
        <f t="shared" si="1"/>
        <v>Non-Compliant</v>
      </c>
      <c r="K292" s="1" t="str">
        <f t="shared" si="2"/>
        <v>Non-Incentive</v>
      </c>
      <c r="L292" s="1" t="str">
        <f t="shared" si="3"/>
        <v>TUG</v>
      </c>
      <c r="M292" s="1">
        <f t="shared" si="4"/>
        <v>3</v>
      </c>
      <c r="N292" s="1">
        <f t="shared" si="5"/>
        <v>2017</v>
      </c>
    </row>
    <row r="293" ht="15.75" customHeight="1">
      <c r="A293" s="1" t="s">
        <v>14</v>
      </c>
      <c r="B293" s="1">
        <v>1223301.0</v>
      </c>
      <c r="C293" s="1" t="s">
        <v>1320</v>
      </c>
      <c r="D293" s="1" t="s">
        <v>1335</v>
      </c>
      <c r="E293" s="1" t="s">
        <v>1332</v>
      </c>
      <c r="F293" s="1" t="s">
        <v>1333</v>
      </c>
      <c r="G293" s="1" t="s">
        <v>37</v>
      </c>
      <c r="H293" s="1" t="s">
        <v>1336</v>
      </c>
      <c r="I293" s="1" t="s">
        <v>32</v>
      </c>
      <c r="J293" s="1" t="str">
        <f t="shared" si="1"/>
        <v>Non-Compliant</v>
      </c>
      <c r="K293" s="1" t="str">
        <f t="shared" si="2"/>
        <v>Non-Incentive</v>
      </c>
      <c r="L293" s="1" t="str">
        <f t="shared" si="3"/>
        <v>TUG</v>
      </c>
      <c r="M293" s="1">
        <f t="shared" si="4"/>
        <v>3</v>
      </c>
      <c r="N293" s="1">
        <f t="shared" si="5"/>
        <v>2017</v>
      </c>
    </row>
    <row r="294" ht="15.75" customHeight="1">
      <c r="A294" s="1" t="s">
        <v>14</v>
      </c>
      <c r="B294" s="1">
        <v>1223387.0</v>
      </c>
      <c r="C294" s="1" t="s">
        <v>1320</v>
      </c>
      <c r="D294" s="1" t="s">
        <v>1337</v>
      </c>
      <c r="E294" s="1" t="s">
        <v>1338</v>
      </c>
      <c r="F294" s="1" t="s">
        <v>1339</v>
      </c>
      <c r="G294" s="1" t="s">
        <v>19</v>
      </c>
      <c r="H294" s="1" t="s">
        <v>1340</v>
      </c>
      <c r="I294" s="1" t="s">
        <v>1341</v>
      </c>
      <c r="J294" s="1" t="str">
        <f t="shared" si="1"/>
        <v>Non-Compliant</v>
      </c>
      <c r="K294" s="1" t="str">
        <f t="shared" si="2"/>
        <v>Non-Incentive</v>
      </c>
      <c r="L294" s="1" t="str">
        <f t="shared" si="3"/>
        <v>TUG</v>
      </c>
      <c r="M294" s="1">
        <f t="shared" si="4"/>
        <v>3</v>
      </c>
      <c r="N294" s="1">
        <f t="shared" si="5"/>
        <v>2017</v>
      </c>
    </row>
    <row r="295" ht="15.75" customHeight="1">
      <c r="A295" s="1" t="s">
        <v>14</v>
      </c>
      <c r="B295" s="1">
        <v>1235474.0</v>
      </c>
      <c r="C295" s="1" t="s">
        <v>1342</v>
      </c>
      <c r="D295" s="1" t="s">
        <v>1343</v>
      </c>
      <c r="E295" s="1" t="s">
        <v>1344</v>
      </c>
      <c r="F295" s="1" t="s">
        <v>1345</v>
      </c>
      <c r="G295" s="1" t="s">
        <v>19</v>
      </c>
      <c r="H295" s="1" t="s">
        <v>1346</v>
      </c>
      <c r="I295" s="1" t="s">
        <v>1347</v>
      </c>
      <c r="J295" s="1" t="str">
        <f t="shared" si="1"/>
        <v>Non-Compliant</v>
      </c>
      <c r="K295" s="1" t="str">
        <f t="shared" si="2"/>
        <v>Non-Incentive</v>
      </c>
      <c r="L295" s="1" t="str">
        <f t="shared" si="3"/>
        <v>TUG</v>
      </c>
      <c r="M295" s="1">
        <f t="shared" si="4"/>
        <v>3</v>
      </c>
      <c r="N295" s="1">
        <f t="shared" si="5"/>
        <v>2017</v>
      </c>
    </row>
    <row r="296" ht="15.75" customHeight="1">
      <c r="A296" s="1" t="s">
        <v>14</v>
      </c>
      <c r="B296" s="1">
        <v>1247813.0</v>
      </c>
      <c r="C296" s="1" t="s">
        <v>1342</v>
      </c>
      <c r="D296" s="1" t="s">
        <v>1348</v>
      </c>
      <c r="E296" s="1" t="s">
        <v>1349</v>
      </c>
      <c r="F296" s="1" t="s">
        <v>1350</v>
      </c>
      <c r="G296" s="1" t="s">
        <v>19</v>
      </c>
      <c r="H296" s="1" t="s">
        <v>1351</v>
      </c>
      <c r="I296" s="1" t="s">
        <v>1352</v>
      </c>
      <c r="J296" s="1" t="str">
        <f t="shared" si="1"/>
        <v>Non-Compliant</v>
      </c>
      <c r="K296" s="1" t="str">
        <f t="shared" si="2"/>
        <v>Non-Incentive</v>
      </c>
      <c r="L296" s="1" t="str">
        <f t="shared" si="3"/>
        <v>TUG</v>
      </c>
      <c r="M296" s="1">
        <f t="shared" si="4"/>
        <v>3</v>
      </c>
      <c r="N296" s="1">
        <f t="shared" si="5"/>
        <v>2017</v>
      </c>
    </row>
    <row r="297" ht="15.75" customHeight="1">
      <c r="A297" s="1" t="s">
        <v>14</v>
      </c>
      <c r="B297" s="1">
        <v>1249499.0</v>
      </c>
      <c r="C297" s="1" t="s">
        <v>1342</v>
      </c>
      <c r="D297" s="1" t="s">
        <v>1353</v>
      </c>
      <c r="E297" s="1" t="s">
        <v>1349</v>
      </c>
      <c r="F297" s="1" t="s">
        <v>1354</v>
      </c>
      <c r="G297" s="1" t="s">
        <v>1355</v>
      </c>
      <c r="H297" s="1" t="s">
        <v>1356</v>
      </c>
      <c r="I297" s="1" t="s">
        <v>1347</v>
      </c>
      <c r="J297" s="1" t="str">
        <f t="shared" si="1"/>
        <v>Non-Compliant</v>
      </c>
      <c r="K297" s="1" t="str">
        <f t="shared" si="2"/>
        <v>Non-Incentive</v>
      </c>
      <c r="L297" s="1" t="str">
        <f t="shared" si="3"/>
        <v>TUG</v>
      </c>
      <c r="M297" s="1">
        <f t="shared" si="4"/>
        <v>3</v>
      </c>
      <c r="N297" s="1">
        <f t="shared" si="5"/>
        <v>2017</v>
      </c>
    </row>
    <row r="298" ht="15.75" customHeight="1">
      <c r="A298" s="1" t="s">
        <v>14</v>
      </c>
      <c r="B298" s="1">
        <v>1249514.0</v>
      </c>
      <c r="C298" s="1" t="s">
        <v>1342</v>
      </c>
      <c r="D298" s="1" t="s">
        <v>1357</v>
      </c>
      <c r="E298" s="1" t="s">
        <v>1349</v>
      </c>
      <c r="F298" s="1" t="s">
        <v>1354</v>
      </c>
      <c r="G298" s="1" t="s">
        <v>1358</v>
      </c>
      <c r="H298" s="1" t="s">
        <v>1359</v>
      </c>
      <c r="I298" s="1" t="s">
        <v>1347</v>
      </c>
      <c r="J298" s="1" t="str">
        <f t="shared" si="1"/>
        <v>Non-Compliant</v>
      </c>
      <c r="K298" s="1" t="str">
        <f t="shared" si="2"/>
        <v>Non-Incentive</v>
      </c>
      <c r="L298" s="1" t="str">
        <f t="shared" si="3"/>
        <v>TUG</v>
      </c>
      <c r="M298" s="1">
        <f t="shared" si="4"/>
        <v>3</v>
      </c>
      <c r="N298" s="1">
        <f t="shared" si="5"/>
        <v>2017</v>
      </c>
    </row>
    <row r="299" ht="15.75" customHeight="1">
      <c r="A299" s="1" t="s">
        <v>14</v>
      </c>
      <c r="B299" s="1">
        <v>1252402.0</v>
      </c>
      <c r="C299" s="1" t="s">
        <v>1342</v>
      </c>
      <c r="D299" s="1" t="s">
        <v>1360</v>
      </c>
      <c r="E299" s="1" t="s">
        <v>1361</v>
      </c>
      <c r="F299" s="1" t="s">
        <v>1362</v>
      </c>
      <c r="G299" s="1" t="s">
        <v>19</v>
      </c>
      <c r="H299" s="1" t="s">
        <v>1363</v>
      </c>
      <c r="I299" s="1" t="s">
        <v>1364</v>
      </c>
      <c r="J299" s="1" t="str">
        <f t="shared" si="1"/>
        <v>Non-Compliant</v>
      </c>
      <c r="K299" s="1" t="str">
        <f t="shared" si="2"/>
        <v>Non-Incentive</v>
      </c>
      <c r="L299" s="1" t="str">
        <f t="shared" si="3"/>
        <v>TUG</v>
      </c>
      <c r="M299" s="1">
        <f t="shared" si="4"/>
        <v>3</v>
      </c>
      <c r="N299" s="1">
        <f t="shared" si="5"/>
        <v>2017</v>
      </c>
    </row>
    <row r="300" ht="15.75" customHeight="1">
      <c r="A300" s="1" t="s">
        <v>14</v>
      </c>
      <c r="B300" s="1">
        <v>1254519.0</v>
      </c>
      <c r="C300" s="1" t="s">
        <v>1342</v>
      </c>
      <c r="D300" s="1" t="s">
        <v>1365</v>
      </c>
      <c r="E300" s="1" t="s">
        <v>1366</v>
      </c>
      <c r="F300" s="1" t="s">
        <v>1362</v>
      </c>
      <c r="G300" s="1" t="s">
        <v>19</v>
      </c>
      <c r="H300" s="1" t="s">
        <v>1367</v>
      </c>
      <c r="I300" s="1" t="s">
        <v>1368</v>
      </c>
      <c r="J300" s="1" t="str">
        <f t="shared" si="1"/>
        <v>Non-Compliant</v>
      </c>
      <c r="K300" s="1" t="str">
        <f t="shared" si="2"/>
        <v>Non-Incentive</v>
      </c>
      <c r="L300" s="1" t="str">
        <f t="shared" si="3"/>
        <v>TUG</v>
      </c>
      <c r="M300" s="1">
        <f t="shared" si="4"/>
        <v>3</v>
      </c>
      <c r="N300" s="1">
        <f t="shared" si="5"/>
        <v>2017</v>
      </c>
    </row>
    <row r="301" ht="15.75" customHeight="1">
      <c r="A301" s="1" t="s">
        <v>14</v>
      </c>
      <c r="B301" s="1">
        <v>1254838.0</v>
      </c>
      <c r="C301" s="1" t="s">
        <v>1342</v>
      </c>
      <c r="D301" s="1" t="s">
        <v>1369</v>
      </c>
      <c r="E301" s="1" t="s">
        <v>1370</v>
      </c>
      <c r="F301" s="1" t="s">
        <v>1371</v>
      </c>
      <c r="G301" s="1" t="s">
        <v>1372</v>
      </c>
      <c r="H301" s="1" t="s">
        <v>1373</v>
      </c>
      <c r="I301" s="1" t="s">
        <v>1374</v>
      </c>
      <c r="J301" s="1" t="str">
        <f t="shared" si="1"/>
        <v>Non-Compliant</v>
      </c>
      <c r="K301" s="1" t="str">
        <f t="shared" si="2"/>
        <v>Non-Incentive</v>
      </c>
      <c r="L301" s="1" t="str">
        <f t="shared" si="3"/>
        <v>TUG</v>
      </c>
      <c r="M301" s="1">
        <f t="shared" si="4"/>
        <v>3</v>
      </c>
      <c r="N301" s="1">
        <f t="shared" si="5"/>
        <v>2017</v>
      </c>
    </row>
    <row r="302" ht="15.75" customHeight="1">
      <c r="A302" s="1" t="s">
        <v>14</v>
      </c>
      <c r="B302" s="1">
        <v>1255601.0</v>
      </c>
      <c r="C302" s="1" t="s">
        <v>1342</v>
      </c>
      <c r="D302" s="1" t="s">
        <v>1375</v>
      </c>
      <c r="E302" s="1" t="s">
        <v>1370</v>
      </c>
      <c r="F302" s="1" t="s">
        <v>1376</v>
      </c>
      <c r="G302" s="1" t="s">
        <v>19</v>
      </c>
      <c r="H302" s="1" t="s">
        <v>1377</v>
      </c>
      <c r="I302" s="1" t="s">
        <v>1378</v>
      </c>
      <c r="J302" s="1" t="str">
        <f t="shared" si="1"/>
        <v>Non-Compliant</v>
      </c>
      <c r="K302" s="1" t="str">
        <f t="shared" si="2"/>
        <v>Non-Incentive</v>
      </c>
      <c r="L302" s="1" t="str">
        <f t="shared" si="3"/>
        <v>TUG</v>
      </c>
      <c r="M302" s="1">
        <f t="shared" si="4"/>
        <v>3</v>
      </c>
      <c r="N302" s="1">
        <f t="shared" si="5"/>
        <v>2017</v>
      </c>
    </row>
    <row r="303" ht="15.75" customHeight="1">
      <c r="A303" s="1" t="s">
        <v>14</v>
      </c>
      <c r="B303" s="1">
        <v>1269121.0</v>
      </c>
      <c r="C303" s="1" t="s">
        <v>1379</v>
      </c>
      <c r="D303" s="1" t="s">
        <v>1380</v>
      </c>
      <c r="E303" s="1" t="s">
        <v>1370</v>
      </c>
      <c r="F303" s="1" t="s">
        <v>1381</v>
      </c>
      <c r="G303" s="1" t="s">
        <v>19</v>
      </c>
      <c r="H303" s="1" t="s">
        <v>1382</v>
      </c>
      <c r="I303" s="1" t="s">
        <v>1383</v>
      </c>
      <c r="J303" s="1" t="str">
        <f t="shared" si="1"/>
        <v>Non-Compliant</v>
      </c>
      <c r="K303" s="1" t="str">
        <f t="shared" si="2"/>
        <v>Non-Incentive</v>
      </c>
      <c r="L303" s="1" t="str">
        <f t="shared" si="3"/>
        <v>TUG</v>
      </c>
      <c r="M303" s="1">
        <f t="shared" si="4"/>
        <v>3</v>
      </c>
      <c r="N303" s="1">
        <f t="shared" si="5"/>
        <v>2017</v>
      </c>
    </row>
    <row r="304" ht="15.75" customHeight="1">
      <c r="A304" s="1" t="s">
        <v>14</v>
      </c>
      <c r="B304" s="1">
        <v>1274037.0</v>
      </c>
      <c r="C304" s="1" t="s">
        <v>1379</v>
      </c>
      <c r="D304" s="1" t="s">
        <v>1384</v>
      </c>
      <c r="E304" s="1" t="s">
        <v>1385</v>
      </c>
      <c r="F304" s="1" t="s">
        <v>1386</v>
      </c>
      <c r="G304" s="1" t="s">
        <v>19</v>
      </c>
      <c r="H304" s="1" t="s">
        <v>1387</v>
      </c>
      <c r="I304" s="1" t="s">
        <v>1388</v>
      </c>
      <c r="J304" s="1" t="str">
        <f t="shared" si="1"/>
        <v>Non-Compliant</v>
      </c>
      <c r="K304" s="1" t="str">
        <f t="shared" si="2"/>
        <v>Non-Incentive</v>
      </c>
      <c r="L304" s="1" t="str">
        <f t="shared" si="3"/>
        <v>TUG</v>
      </c>
      <c r="M304" s="1">
        <f t="shared" si="4"/>
        <v>3</v>
      </c>
      <c r="N304" s="1">
        <f t="shared" si="5"/>
        <v>2017</v>
      </c>
    </row>
    <row r="305" ht="15.75" customHeight="1">
      <c r="A305" s="1" t="s">
        <v>14</v>
      </c>
      <c r="B305" s="1">
        <v>1277877.0</v>
      </c>
      <c r="C305" s="1" t="s">
        <v>1379</v>
      </c>
      <c r="D305" s="1" t="s">
        <v>1389</v>
      </c>
      <c r="E305" s="1" t="s">
        <v>1385</v>
      </c>
      <c r="F305" s="1" t="s">
        <v>1390</v>
      </c>
      <c r="G305" s="1" t="s">
        <v>1391</v>
      </c>
      <c r="H305" s="1" t="s">
        <v>1392</v>
      </c>
      <c r="I305" s="1" t="s">
        <v>1393</v>
      </c>
      <c r="J305" s="1" t="str">
        <f t="shared" si="1"/>
        <v>Non-Compliant</v>
      </c>
      <c r="K305" s="1" t="str">
        <f t="shared" si="2"/>
        <v>Non-Incentive</v>
      </c>
      <c r="L305" s="1" t="str">
        <f t="shared" si="3"/>
        <v>TUG</v>
      </c>
      <c r="M305" s="1">
        <f t="shared" si="4"/>
        <v>3</v>
      </c>
      <c r="N305" s="1">
        <f t="shared" si="5"/>
        <v>2017</v>
      </c>
    </row>
    <row r="306" ht="15.75" customHeight="1">
      <c r="A306" s="1" t="s">
        <v>14</v>
      </c>
      <c r="B306" s="1">
        <v>1277880.0</v>
      </c>
      <c r="C306" s="1" t="s">
        <v>1379</v>
      </c>
      <c r="D306" s="1" t="s">
        <v>1394</v>
      </c>
      <c r="E306" s="1" t="s">
        <v>1395</v>
      </c>
      <c r="F306" s="1" t="s">
        <v>1390</v>
      </c>
      <c r="G306" s="1" t="s">
        <v>1396</v>
      </c>
      <c r="H306" s="1" t="s">
        <v>1397</v>
      </c>
      <c r="I306" s="1" t="s">
        <v>1393</v>
      </c>
      <c r="J306" s="1" t="str">
        <f t="shared" si="1"/>
        <v>Non-Compliant</v>
      </c>
      <c r="K306" s="1" t="str">
        <f t="shared" si="2"/>
        <v>Non-Incentive</v>
      </c>
      <c r="L306" s="1" t="str">
        <f t="shared" si="3"/>
        <v>TUG</v>
      </c>
      <c r="M306" s="1">
        <f t="shared" si="4"/>
        <v>3</v>
      </c>
      <c r="N306" s="1">
        <f t="shared" si="5"/>
        <v>2017</v>
      </c>
    </row>
    <row r="307" ht="15.75" customHeight="1">
      <c r="A307" s="1" t="s">
        <v>14</v>
      </c>
      <c r="B307" s="1">
        <v>1277951.0</v>
      </c>
      <c r="C307" s="1" t="s">
        <v>1379</v>
      </c>
      <c r="D307" s="1" t="s">
        <v>1398</v>
      </c>
      <c r="E307" s="1" t="s">
        <v>1395</v>
      </c>
      <c r="F307" s="1" t="s">
        <v>1390</v>
      </c>
      <c r="G307" s="1" t="s">
        <v>1396</v>
      </c>
      <c r="H307" s="1" t="s">
        <v>1397</v>
      </c>
      <c r="I307" s="1" t="s">
        <v>1393</v>
      </c>
      <c r="J307" s="1" t="str">
        <f t="shared" si="1"/>
        <v>Non-Compliant</v>
      </c>
      <c r="K307" s="1" t="str">
        <f t="shared" si="2"/>
        <v>Non-Incentive</v>
      </c>
      <c r="L307" s="1" t="str">
        <f t="shared" si="3"/>
        <v>TUG</v>
      </c>
      <c r="M307" s="1">
        <f t="shared" si="4"/>
        <v>3</v>
      </c>
      <c r="N307" s="1">
        <f t="shared" si="5"/>
        <v>2017</v>
      </c>
    </row>
    <row r="308" ht="15.75" customHeight="1">
      <c r="A308" s="1" t="s">
        <v>14</v>
      </c>
      <c r="B308" s="1">
        <v>1310855.0</v>
      </c>
      <c r="C308" s="1" t="s">
        <v>1399</v>
      </c>
      <c r="D308" s="1" t="s">
        <v>1400</v>
      </c>
      <c r="E308" s="1" t="s">
        <v>1401</v>
      </c>
      <c r="F308" s="1" t="s">
        <v>1402</v>
      </c>
      <c r="G308" s="1" t="s">
        <v>37</v>
      </c>
      <c r="H308" s="1" t="s">
        <v>1403</v>
      </c>
      <c r="I308" s="1" t="s">
        <v>1404</v>
      </c>
      <c r="J308" s="1" t="str">
        <f t="shared" si="1"/>
        <v>Non-Compliant</v>
      </c>
      <c r="K308" s="1" t="str">
        <f t="shared" si="2"/>
        <v>Non-Incentive</v>
      </c>
      <c r="L308" s="1" t="str">
        <f t="shared" si="3"/>
        <v>TUG</v>
      </c>
      <c r="M308" s="1">
        <f t="shared" si="4"/>
        <v>3</v>
      </c>
      <c r="N308" s="1">
        <f t="shared" si="5"/>
        <v>2017</v>
      </c>
    </row>
    <row r="309" ht="15.75" customHeight="1">
      <c r="A309" s="1" t="s">
        <v>14</v>
      </c>
      <c r="B309" s="1">
        <v>1317115.0</v>
      </c>
      <c r="C309" s="1" t="s">
        <v>1399</v>
      </c>
      <c r="D309" s="1" t="s">
        <v>1405</v>
      </c>
      <c r="E309" s="1" t="s">
        <v>1385</v>
      </c>
      <c r="F309" s="1" t="s">
        <v>1390</v>
      </c>
      <c r="G309" s="1" t="s">
        <v>1406</v>
      </c>
      <c r="H309" s="1" t="s">
        <v>1407</v>
      </c>
      <c r="I309" s="1" t="s">
        <v>1393</v>
      </c>
      <c r="J309" s="1" t="str">
        <f t="shared" si="1"/>
        <v>Non-Compliant</v>
      </c>
      <c r="K309" s="1" t="str">
        <f t="shared" si="2"/>
        <v>Non-Incentive</v>
      </c>
      <c r="L309" s="1" t="str">
        <f t="shared" si="3"/>
        <v>TUG</v>
      </c>
      <c r="M309" s="1">
        <f t="shared" si="4"/>
        <v>3</v>
      </c>
      <c r="N309" s="1">
        <f t="shared" si="5"/>
        <v>2017</v>
      </c>
    </row>
    <row r="310" ht="15.75" customHeight="1">
      <c r="A310" s="1" t="s">
        <v>14</v>
      </c>
      <c r="B310" s="1">
        <v>1318155.0</v>
      </c>
      <c r="C310" s="1" t="s">
        <v>1399</v>
      </c>
      <c r="D310" s="1" t="s">
        <v>1408</v>
      </c>
      <c r="E310" s="1" t="s">
        <v>1385</v>
      </c>
      <c r="F310" s="1" t="s">
        <v>1409</v>
      </c>
      <c r="G310" s="1" t="s">
        <v>1410</v>
      </c>
      <c r="H310" s="1" t="s">
        <v>1411</v>
      </c>
      <c r="I310" s="1" t="s">
        <v>1393</v>
      </c>
      <c r="J310" s="1" t="str">
        <f t="shared" si="1"/>
        <v>Non-Compliant</v>
      </c>
      <c r="K310" s="1" t="str">
        <f t="shared" si="2"/>
        <v>Non-Incentive</v>
      </c>
      <c r="L310" s="1" t="str">
        <f t="shared" si="3"/>
        <v>TUG</v>
      </c>
      <c r="M310" s="1">
        <f t="shared" si="4"/>
        <v>3</v>
      </c>
      <c r="N310" s="1">
        <f t="shared" si="5"/>
        <v>2017</v>
      </c>
    </row>
    <row r="311" ht="15.75" customHeight="1">
      <c r="A311" s="1" t="s">
        <v>14</v>
      </c>
      <c r="B311" s="1">
        <v>1318294.0</v>
      </c>
      <c r="C311" s="1" t="s">
        <v>1399</v>
      </c>
      <c r="D311" s="1" t="s">
        <v>1412</v>
      </c>
      <c r="E311" s="1" t="s">
        <v>1361</v>
      </c>
      <c r="F311" s="1" t="s">
        <v>1413</v>
      </c>
      <c r="G311" s="1" t="s">
        <v>19</v>
      </c>
      <c r="H311" s="1" t="s">
        <v>1414</v>
      </c>
      <c r="I311" s="1" t="s">
        <v>1415</v>
      </c>
      <c r="J311" s="1" t="str">
        <f t="shared" si="1"/>
        <v>Non-Compliant</v>
      </c>
      <c r="K311" s="1" t="str">
        <f t="shared" si="2"/>
        <v>Non-Incentive</v>
      </c>
      <c r="L311" s="1" t="str">
        <f t="shared" si="3"/>
        <v>TUG</v>
      </c>
      <c r="M311" s="1">
        <f t="shared" si="4"/>
        <v>3</v>
      </c>
      <c r="N311" s="1">
        <f t="shared" si="5"/>
        <v>2017</v>
      </c>
    </row>
    <row r="312" ht="15.75" customHeight="1">
      <c r="A312" s="1" t="s">
        <v>14</v>
      </c>
      <c r="B312" s="1">
        <v>1323400.0</v>
      </c>
      <c r="C312" s="1" t="s">
        <v>1399</v>
      </c>
      <c r="D312" s="1" t="s">
        <v>1416</v>
      </c>
      <c r="E312" s="1" t="s">
        <v>1417</v>
      </c>
      <c r="F312" s="1" t="s">
        <v>1418</v>
      </c>
      <c r="G312" s="1" t="s">
        <v>19</v>
      </c>
      <c r="H312" s="1" t="s">
        <v>1419</v>
      </c>
      <c r="I312" s="1" t="s">
        <v>1420</v>
      </c>
      <c r="J312" s="1" t="str">
        <f t="shared" si="1"/>
        <v>Non-Compliant</v>
      </c>
      <c r="K312" s="1" t="str">
        <f t="shared" si="2"/>
        <v>Non-Incentive</v>
      </c>
      <c r="L312" s="1" t="str">
        <f t="shared" si="3"/>
        <v>TUG</v>
      </c>
      <c r="M312" s="1">
        <f t="shared" si="4"/>
        <v>3</v>
      </c>
      <c r="N312" s="1">
        <f t="shared" si="5"/>
        <v>2017</v>
      </c>
    </row>
    <row r="313" ht="15.75" customHeight="1">
      <c r="A313" s="1" t="s">
        <v>14</v>
      </c>
      <c r="B313" s="1">
        <v>1341857.0</v>
      </c>
      <c r="C313" s="1" t="s">
        <v>1421</v>
      </c>
      <c r="D313" s="1" t="s">
        <v>1422</v>
      </c>
      <c r="E313" s="1" t="s">
        <v>1423</v>
      </c>
      <c r="F313" s="1" t="s">
        <v>1424</v>
      </c>
      <c r="G313" s="1" t="s">
        <v>1425</v>
      </c>
      <c r="H313" s="1" t="s">
        <v>1426</v>
      </c>
      <c r="I313" s="1" t="s">
        <v>1427</v>
      </c>
      <c r="J313" s="1" t="str">
        <f t="shared" si="1"/>
        <v>Non-Compliant</v>
      </c>
      <c r="K313" s="1" t="str">
        <f t="shared" si="2"/>
        <v>Non-Incentive</v>
      </c>
      <c r="L313" s="1" t="str">
        <f t="shared" si="3"/>
        <v>TUG</v>
      </c>
      <c r="M313" s="1">
        <f t="shared" si="4"/>
        <v>3</v>
      </c>
      <c r="N313" s="1">
        <f t="shared" si="5"/>
        <v>2017</v>
      </c>
    </row>
    <row r="314" ht="15.75" customHeight="1">
      <c r="A314" s="1" t="s">
        <v>14</v>
      </c>
      <c r="B314" s="1">
        <v>1349436.0</v>
      </c>
      <c r="C314" s="1" t="s">
        <v>1421</v>
      </c>
      <c r="D314" s="1" t="s">
        <v>1428</v>
      </c>
      <c r="E314" s="1" t="s">
        <v>1385</v>
      </c>
      <c r="F314" s="1" t="s">
        <v>1429</v>
      </c>
      <c r="G314" s="1" t="s">
        <v>19</v>
      </c>
      <c r="H314" s="1" t="s">
        <v>1430</v>
      </c>
      <c r="I314" s="1" t="s">
        <v>1431</v>
      </c>
      <c r="J314" s="1" t="str">
        <f t="shared" si="1"/>
        <v>Non-Compliant</v>
      </c>
      <c r="K314" s="1" t="str">
        <f t="shared" si="2"/>
        <v>Non-Incentive</v>
      </c>
      <c r="L314" s="1" t="str">
        <f t="shared" si="3"/>
        <v>TUG</v>
      </c>
      <c r="M314" s="1">
        <f t="shared" si="4"/>
        <v>3</v>
      </c>
      <c r="N314" s="1">
        <f t="shared" si="5"/>
        <v>2017</v>
      </c>
    </row>
    <row r="315" ht="15.75" customHeight="1">
      <c r="A315" s="1" t="s">
        <v>14</v>
      </c>
      <c r="B315" s="1">
        <v>1349513.0</v>
      </c>
      <c r="C315" s="1" t="s">
        <v>1421</v>
      </c>
      <c r="D315" s="1" t="s">
        <v>1432</v>
      </c>
      <c r="E315" s="1" t="s">
        <v>1433</v>
      </c>
      <c r="F315" s="1" t="s">
        <v>1434</v>
      </c>
      <c r="G315" s="1" t="s">
        <v>19</v>
      </c>
      <c r="H315" s="1" t="s">
        <v>1435</v>
      </c>
      <c r="I315" s="1" t="s">
        <v>1436</v>
      </c>
      <c r="J315" s="1" t="str">
        <f t="shared" si="1"/>
        <v>Non-Compliant</v>
      </c>
      <c r="K315" s="1" t="str">
        <f t="shared" si="2"/>
        <v>Non-Incentive</v>
      </c>
      <c r="L315" s="1" t="str">
        <f t="shared" si="3"/>
        <v>TUG</v>
      </c>
      <c r="M315" s="1">
        <f t="shared" si="4"/>
        <v>3</v>
      </c>
      <c r="N315" s="1">
        <f t="shared" si="5"/>
        <v>2017</v>
      </c>
    </row>
    <row r="316" ht="15.75" customHeight="1">
      <c r="A316" s="1" t="s">
        <v>14</v>
      </c>
      <c r="B316" s="1">
        <v>1350667.0</v>
      </c>
      <c r="C316" s="1" t="s">
        <v>1421</v>
      </c>
      <c r="D316" s="1" t="s">
        <v>1437</v>
      </c>
      <c r="E316" s="1" t="s">
        <v>1438</v>
      </c>
      <c r="F316" s="1" t="s">
        <v>1439</v>
      </c>
      <c r="G316" s="1" t="s">
        <v>19</v>
      </c>
      <c r="H316" s="1" t="s">
        <v>1440</v>
      </c>
      <c r="I316" s="1" t="s">
        <v>1441</v>
      </c>
      <c r="J316" s="1" t="str">
        <f t="shared" si="1"/>
        <v>Non-Compliant</v>
      </c>
      <c r="K316" s="1" t="str">
        <f t="shared" si="2"/>
        <v>Non-Incentive</v>
      </c>
      <c r="L316" s="1" t="str">
        <f t="shared" si="3"/>
        <v>TUG</v>
      </c>
      <c r="M316" s="1">
        <f t="shared" si="4"/>
        <v>3</v>
      </c>
      <c r="N316" s="1">
        <f t="shared" si="5"/>
        <v>2017</v>
      </c>
    </row>
    <row r="317" ht="15.75" customHeight="1">
      <c r="A317" s="1" t="s">
        <v>14</v>
      </c>
      <c r="B317" s="1">
        <v>1364053.0</v>
      </c>
      <c r="C317" s="1" t="s">
        <v>1442</v>
      </c>
      <c r="D317" s="1" t="s">
        <v>1443</v>
      </c>
      <c r="E317" s="1" t="s">
        <v>1444</v>
      </c>
      <c r="F317" s="1" t="s">
        <v>1445</v>
      </c>
      <c r="G317" s="1" t="s">
        <v>37</v>
      </c>
      <c r="H317" s="1" t="s">
        <v>1446</v>
      </c>
      <c r="I317" s="1" t="s">
        <v>1447</v>
      </c>
      <c r="J317" s="1" t="str">
        <f t="shared" si="1"/>
        <v>Non-Compliant</v>
      </c>
      <c r="K317" s="1" t="str">
        <f t="shared" si="2"/>
        <v>Non-Incentive</v>
      </c>
      <c r="L317" s="1" t="str">
        <f t="shared" si="3"/>
        <v>TUG</v>
      </c>
      <c r="M317" s="1">
        <f t="shared" si="4"/>
        <v>3</v>
      </c>
      <c r="N317" s="1">
        <f t="shared" si="5"/>
        <v>2017</v>
      </c>
    </row>
    <row r="318" ht="15.75" customHeight="1">
      <c r="A318" s="1" t="s">
        <v>14</v>
      </c>
      <c r="B318" s="1">
        <v>1367821.0</v>
      </c>
      <c r="C318" s="1" t="s">
        <v>1442</v>
      </c>
      <c r="D318" s="1" t="s">
        <v>1448</v>
      </c>
      <c r="E318" s="1" t="s">
        <v>1449</v>
      </c>
      <c r="F318" s="1" t="s">
        <v>1450</v>
      </c>
      <c r="G318" s="1" t="s">
        <v>19</v>
      </c>
      <c r="H318" s="1" t="s">
        <v>1451</v>
      </c>
      <c r="I318" s="1" t="s">
        <v>1452</v>
      </c>
      <c r="J318" s="1" t="str">
        <f t="shared" si="1"/>
        <v>Non-Compliant</v>
      </c>
      <c r="K318" s="1" t="str">
        <f t="shared" si="2"/>
        <v>Non-Incentive</v>
      </c>
      <c r="L318" s="1" t="str">
        <f t="shared" si="3"/>
        <v>TUG</v>
      </c>
      <c r="M318" s="1">
        <f t="shared" si="4"/>
        <v>3</v>
      </c>
      <c r="N318" s="1">
        <f t="shared" si="5"/>
        <v>2017</v>
      </c>
    </row>
    <row r="319" ht="15.75" customHeight="1">
      <c r="A319" s="1" t="s">
        <v>14</v>
      </c>
      <c r="B319" s="1">
        <v>1381867.0</v>
      </c>
      <c r="C319" s="1" t="s">
        <v>1442</v>
      </c>
      <c r="D319" s="1" t="s">
        <v>1453</v>
      </c>
      <c r="E319" s="1" t="s">
        <v>1395</v>
      </c>
      <c r="F319" s="1" t="s">
        <v>1454</v>
      </c>
      <c r="G319" s="1" t="s">
        <v>37</v>
      </c>
      <c r="H319" s="1" t="s">
        <v>1455</v>
      </c>
      <c r="I319" s="1" t="s">
        <v>1383</v>
      </c>
      <c r="J319" s="1" t="str">
        <f t="shared" si="1"/>
        <v>Non-Compliant</v>
      </c>
      <c r="K319" s="1" t="str">
        <f t="shared" si="2"/>
        <v>Non-Incentive</v>
      </c>
      <c r="L319" s="1" t="str">
        <f t="shared" si="3"/>
        <v>TUG</v>
      </c>
      <c r="M319" s="1">
        <f t="shared" si="4"/>
        <v>3</v>
      </c>
      <c r="N319" s="1">
        <f t="shared" si="5"/>
        <v>2017</v>
      </c>
    </row>
    <row r="320" ht="15.75" customHeight="1">
      <c r="A320" s="1" t="s">
        <v>14</v>
      </c>
      <c r="B320" s="1">
        <v>1386534.0</v>
      </c>
      <c r="C320" s="1" t="s">
        <v>1456</v>
      </c>
      <c r="D320" s="1" t="s">
        <v>1457</v>
      </c>
      <c r="E320" s="1" t="s">
        <v>1444</v>
      </c>
      <c r="F320" s="1" t="s">
        <v>1458</v>
      </c>
      <c r="G320" s="1" t="s">
        <v>37</v>
      </c>
      <c r="H320" s="1" t="s">
        <v>1459</v>
      </c>
      <c r="I320" s="1" t="s">
        <v>1460</v>
      </c>
      <c r="J320" s="1" t="str">
        <f t="shared" si="1"/>
        <v>Non-Compliant</v>
      </c>
      <c r="K320" s="1" t="str">
        <f t="shared" si="2"/>
        <v>Non-Incentive</v>
      </c>
      <c r="L320" s="1" t="str">
        <f t="shared" si="3"/>
        <v>TUG</v>
      </c>
      <c r="M320" s="1">
        <f t="shared" si="4"/>
        <v>3</v>
      </c>
      <c r="N320" s="1">
        <f t="shared" si="5"/>
        <v>2017</v>
      </c>
    </row>
    <row r="321" ht="15.75" customHeight="1">
      <c r="A321" s="1" t="s">
        <v>14</v>
      </c>
      <c r="B321" s="1">
        <v>1411047.0</v>
      </c>
      <c r="C321" s="1" t="s">
        <v>1456</v>
      </c>
      <c r="D321" s="1" t="s">
        <v>1461</v>
      </c>
      <c r="E321" s="1" t="s">
        <v>1462</v>
      </c>
      <c r="F321" s="1" t="s">
        <v>1463</v>
      </c>
      <c r="G321" s="1" t="s">
        <v>37</v>
      </c>
      <c r="H321" s="1" t="s">
        <v>1464</v>
      </c>
      <c r="I321" s="1" t="s">
        <v>1460</v>
      </c>
      <c r="J321" s="1" t="str">
        <f t="shared" si="1"/>
        <v>Non-Compliant</v>
      </c>
      <c r="K321" s="1" t="str">
        <f t="shared" si="2"/>
        <v>Non-Incentive</v>
      </c>
      <c r="L321" s="1" t="str">
        <f t="shared" si="3"/>
        <v>TUG</v>
      </c>
      <c r="M321" s="1">
        <f t="shared" si="4"/>
        <v>3</v>
      </c>
      <c r="N321" s="1">
        <f t="shared" si="5"/>
        <v>2017</v>
      </c>
    </row>
    <row r="322" ht="15.75" customHeight="1">
      <c r="A322" s="1" t="s">
        <v>14</v>
      </c>
      <c r="B322" s="1">
        <v>1466520.0</v>
      </c>
      <c r="C322" s="1" t="s">
        <v>1465</v>
      </c>
      <c r="D322" s="1" t="s">
        <v>1466</v>
      </c>
      <c r="E322" s="1" t="s">
        <v>1467</v>
      </c>
      <c r="F322" s="1" t="s">
        <v>1468</v>
      </c>
      <c r="G322" s="1" t="s">
        <v>19</v>
      </c>
      <c r="H322" s="1" t="s">
        <v>1469</v>
      </c>
      <c r="I322" s="1" t="s">
        <v>1470</v>
      </c>
      <c r="J322" s="1" t="str">
        <f t="shared" si="1"/>
        <v>Non-Compliant</v>
      </c>
      <c r="K322" s="1" t="str">
        <f t="shared" si="2"/>
        <v>Non-Incentive</v>
      </c>
      <c r="L322" s="1" t="str">
        <f t="shared" si="3"/>
        <v>TUG</v>
      </c>
      <c r="M322" s="1">
        <f t="shared" si="4"/>
        <v>3</v>
      </c>
      <c r="N322" s="1">
        <f t="shared" si="5"/>
        <v>2017</v>
      </c>
    </row>
    <row r="323" ht="15.75" customHeight="1">
      <c r="A323" s="1" t="s">
        <v>14</v>
      </c>
      <c r="B323" s="1">
        <v>1468626.0</v>
      </c>
      <c r="C323" s="1" t="s">
        <v>1465</v>
      </c>
      <c r="D323" s="1" t="s">
        <v>1471</v>
      </c>
      <c r="E323" s="1" t="s">
        <v>1472</v>
      </c>
      <c r="F323" s="1" t="s">
        <v>1473</v>
      </c>
      <c r="G323" s="1" t="s">
        <v>19</v>
      </c>
      <c r="H323" s="1" t="s">
        <v>1474</v>
      </c>
      <c r="I323" s="1" t="s">
        <v>1475</v>
      </c>
      <c r="J323" s="1" t="str">
        <f t="shared" si="1"/>
        <v>Non-Compliant</v>
      </c>
      <c r="K323" s="1" t="str">
        <f t="shared" si="2"/>
        <v>Non-Incentive</v>
      </c>
      <c r="L323" s="1" t="str">
        <f t="shared" si="3"/>
        <v>TUG</v>
      </c>
      <c r="M323" s="1">
        <f t="shared" si="4"/>
        <v>3</v>
      </c>
      <c r="N323" s="1">
        <f t="shared" si="5"/>
        <v>2017</v>
      </c>
    </row>
    <row r="324" ht="15.75" customHeight="1">
      <c r="A324" s="1" t="s">
        <v>14</v>
      </c>
      <c r="B324" s="1">
        <v>1469621.0</v>
      </c>
      <c r="C324" s="1" t="s">
        <v>1465</v>
      </c>
      <c r="D324" s="1" t="s">
        <v>1476</v>
      </c>
      <c r="E324" s="1" t="s">
        <v>1477</v>
      </c>
      <c r="F324" s="1" t="s">
        <v>1478</v>
      </c>
      <c r="G324" s="1" t="s">
        <v>19</v>
      </c>
      <c r="H324" s="1" t="s">
        <v>1479</v>
      </c>
      <c r="I324" s="1" t="s">
        <v>1480</v>
      </c>
      <c r="J324" s="1" t="str">
        <f t="shared" si="1"/>
        <v>Non-Compliant</v>
      </c>
      <c r="K324" s="1" t="str">
        <f t="shared" si="2"/>
        <v>Non-Incentive</v>
      </c>
      <c r="L324" s="1" t="str">
        <f t="shared" si="3"/>
        <v>TUG</v>
      </c>
      <c r="M324" s="1">
        <f t="shared" si="4"/>
        <v>3</v>
      </c>
      <c r="N324" s="1">
        <f t="shared" si="5"/>
        <v>2017</v>
      </c>
    </row>
    <row r="325" ht="15.75" customHeight="1">
      <c r="A325" s="1" t="s">
        <v>14</v>
      </c>
      <c r="B325" s="1">
        <v>1471253.0</v>
      </c>
      <c r="C325" s="1" t="s">
        <v>1465</v>
      </c>
      <c r="D325" s="1" t="s">
        <v>1481</v>
      </c>
      <c r="E325" s="1" t="s">
        <v>1482</v>
      </c>
      <c r="F325" s="1" t="s">
        <v>1483</v>
      </c>
      <c r="G325" s="1" t="s">
        <v>37</v>
      </c>
      <c r="H325" s="1" t="s">
        <v>1484</v>
      </c>
      <c r="I325" s="1" t="s">
        <v>1485</v>
      </c>
      <c r="J325" s="1" t="str">
        <f t="shared" si="1"/>
        <v>Non-Compliant</v>
      </c>
      <c r="K325" s="1" t="str">
        <f t="shared" si="2"/>
        <v>Non-Incentive</v>
      </c>
      <c r="L325" s="1" t="str">
        <f t="shared" si="3"/>
        <v>TUG</v>
      </c>
      <c r="M325" s="1">
        <f t="shared" si="4"/>
        <v>3</v>
      </c>
      <c r="N325" s="1">
        <f t="shared" si="5"/>
        <v>2017</v>
      </c>
    </row>
    <row r="326" ht="15.75" customHeight="1">
      <c r="A326" s="1" t="s">
        <v>14</v>
      </c>
      <c r="B326" s="1">
        <v>1474614.0</v>
      </c>
      <c r="C326" s="1" t="s">
        <v>1465</v>
      </c>
      <c r="D326" s="1" t="s">
        <v>1486</v>
      </c>
      <c r="E326" s="1" t="s">
        <v>1487</v>
      </c>
      <c r="F326" s="1" t="s">
        <v>1488</v>
      </c>
      <c r="G326" s="1" t="s">
        <v>37</v>
      </c>
      <c r="H326" s="1" t="s">
        <v>1489</v>
      </c>
      <c r="I326" s="1" t="s">
        <v>1490</v>
      </c>
      <c r="J326" s="1" t="str">
        <f t="shared" si="1"/>
        <v>Non-Compliant</v>
      </c>
      <c r="K326" s="1" t="str">
        <f t="shared" si="2"/>
        <v>Non-Incentive</v>
      </c>
      <c r="L326" s="1" t="str">
        <f t="shared" si="3"/>
        <v>TUG</v>
      </c>
      <c r="M326" s="1">
        <f t="shared" si="4"/>
        <v>3</v>
      </c>
      <c r="N326" s="1">
        <f t="shared" si="5"/>
        <v>2017</v>
      </c>
    </row>
    <row r="327" ht="15.75" customHeight="1">
      <c r="A327" s="1" t="s">
        <v>14</v>
      </c>
      <c r="B327" s="1">
        <v>1486982.0</v>
      </c>
      <c r="C327" s="1" t="s">
        <v>1491</v>
      </c>
      <c r="D327" s="1" t="s">
        <v>1492</v>
      </c>
      <c r="E327" s="1" t="s">
        <v>1493</v>
      </c>
      <c r="F327" s="1" t="s">
        <v>1494</v>
      </c>
      <c r="G327" s="1" t="s">
        <v>37</v>
      </c>
      <c r="H327" s="1" t="s">
        <v>1495</v>
      </c>
      <c r="I327" s="1" t="s">
        <v>1496</v>
      </c>
      <c r="J327" s="1" t="str">
        <f t="shared" si="1"/>
        <v>Non-Compliant</v>
      </c>
      <c r="K327" s="1" t="str">
        <f t="shared" si="2"/>
        <v>Non-Incentive</v>
      </c>
      <c r="L327" s="1" t="str">
        <f t="shared" si="3"/>
        <v>TUG</v>
      </c>
      <c r="M327" s="1">
        <f t="shared" si="4"/>
        <v>3</v>
      </c>
      <c r="N327" s="1">
        <f t="shared" si="5"/>
        <v>2017</v>
      </c>
    </row>
    <row r="328" ht="15.75" customHeight="1">
      <c r="A328" s="1" t="s">
        <v>14</v>
      </c>
      <c r="B328" s="1">
        <v>1487575.0</v>
      </c>
      <c r="C328" s="1" t="s">
        <v>1491</v>
      </c>
      <c r="D328" s="1" t="s">
        <v>1497</v>
      </c>
      <c r="E328" s="1" t="s">
        <v>1498</v>
      </c>
      <c r="F328" s="1" t="s">
        <v>1499</v>
      </c>
      <c r="G328" s="1" t="s">
        <v>19</v>
      </c>
      <c r="H328" s="1" t="s">
        <v>1500</v>
      </c>
      <c r="I328" s="1" t="s">
        <v>1501</v>
      </c>
      <c r="J328" s="1" t="str">
        <f t="shared" si="1"/>
        <v>Non-Compliant</v>
      </c>
      <c r="K328" s="1" t="str">
        <f t="shared" si="2"/>
        <v>Non-Incentive</v>
      </c>
      <c r="L328" s="1" t="str">
        <f t="shared" si="3"/>
        <v>TUG</v>
      </c>
      <c r="M328" s="1">
        <f t="shared" si="4"/>
        <v>3</v>
      </c>
      <c r="N328" s="1">
        <f t="shared" si="5"/>
        <v>2017</v>
      </c>
    </row>
    <row r="329" ht="15.75" customHeight="1">
      <c r="A329" s="1" t="s">
        <v>14</v>
      </c>
      <c r="B329" s="1">
        <v>1487979.0</v>
      </c>
      <c r="C329" s="1" t="s">
        <v>1491</v>
      </c>
      <c r="D329" s="1" t="s">
        <v>1502</v>
      </c>
      <c r="E329" s="1" t="s">
        <v>1503</v>
      </c>
      <c r="F329" s="1" t="s">
        <v>1473</v>
      </c>
      <c r="G329" s="1" t="s">
        <v>19</v>
      </c>
      <c r="H329" s="1" t="s">
        <v>1504</v>
      </c>
      <c r="I329" s="1" t="s">
        <v>1475</v>
      </c>
      <c r="J329" s="1" t="str">
        <f t="shared" si="1"/>
        <v>Non-Compliant</v>
      </c>
      <c r="K329" s="1" t="str">
        <f t="shared" si="2"/>
        <v>Non-Incentive</v>
      </c>
      <c r="L329" s="1" t="str">
        <f t="shared" si="3"/>
        <v>TUG</v>
      </c>
      <c r="M329" s="1">
        <f t="shared" si="4"/>
        <v>3</v>
      </c>
      <c r="N329" s="1">
        <f t="shared" si="5"/>
        <v>2017</v>
      </c>
    </row>
    <row r="330" ht="15.75" customHeight="1">
      <c r="A330" s="1" t="s">
        <v>14</v>
      </c>
      <c r="B330" s="1">
        <v>1509191.0</v>
      </c>
      <c r="C330" s="1" t="s">
        <v>1505</v>
      </c>
      <c r="D330" s="1" t="s">
        <v>1506</v>
      </c>
      <c r="E330" s="1" t="s">
        <v>1507</v>
      </c>
      <c r="F330" s="1" t="s">
        <v>1508</v>
      </c>
      <c r="G330" s="1" t="s">
        <v>19</v>
      </c>
      <c r="H330" s="1" t="s">
        <v>1509</v>
      </c>
      <c r="I330" s="1" t="s">
        <v>111</v>
      </c>
      <c r="J330" s="1" t="str">
        <f t="shared" si="1"/>
        <v>Non-Compliant</v>
      </c>
      <c r="K330" s="1" t="str">
        <f t="shared" si="2"/>
        <v>Non-Incentive</v>
      </c>
      <c r="L330" s="1" t="str">
        <f t="shared" si="3"/>
        <v>TUG</v>
      </c>
      <c r="M330" s="1">
        <f t="shared" si="4"/>
        <v>3</v>
      </c>
      <c r="N330" s="1">
        <f t="shared" si="5"/>
        <v>2017</v>
      </c>
    </row>
    <row r="331" ht="15.75" customHeight="1">
      <c r="A331" s="1" t="s">
        <v>14</v>
      </c>
      <c r="B331" s="1">
        <v>1512374.0</v>
      </c>
      <c r="C331" s="1" t="s">
        <v>1505</v>
      </c>
      <c r="D331" s="1" t="s">
        <v>1510</v>
      </c>
      <c r="E331" s="1" t="s">
        <v>1511</v>
      </c>
      <c r="F331" s="1" t="s">
        <v>1512</v>
      </c>
      <c r="G331" s="1" t="s">
        <v>19</v>
      </c>
      <c r="H331" s="1" t="s">
        <v>1513</v>
      </c>
      <c r="I331" s="1" t="s">
        <v>1470</v>
      </c>
      <c r="J331" s="1" t="str">
        <f t="shared" si="1"/>
        <v>Non-Compliant</v>
      </c>
      <c r="K331" s="1" t="str">
        <f t="shared" si="2"/>
        <v>Non-Incentive</v>
      </c>
      <c r="L331" s="1" t="str">
        <f t="shared" si="3"/>
        <v>TUG</v>
      </c>
      <c r="M331" s="1">
        <f t="shared" si="4"/>
        <v>3</v>
      </c>
      <c r="N331" s="1">
        <f t="shared" si="5"/>
        <v>2017</v>
      </c>
    </row>
    <row r="332" ht="15.75" customHeight="1">
      <c r="A332" s="1" t="s">
        <v>14</v>
      </c>
      <c r="B332" s="1">
        <v>1521533.0</v>
      </c>
      <c r="C332" s="1" t="s">
        <v>1505</v>
      </c>
      <c r="D332" s="1" t="s">
        <v>1514</v>
      </c>
      <c r="E332" s="1" t="s">
        <v>1477</v>
      </c>
      <c r="F332" s="1" t="s">
        <v>1515</v>
      </c>
      <c r="G332" s="1" t="s">
        <v>19</v>
      </c>
      <c r="H332" s="1" t="s">
        <v>1516</v>
      </c>
      <c r="I332" s="1" t="s">
        <v>1517</v>
      </c>
      <c r="J332" s="1" t="str">
        <f t="shared" si="1"/>
        <v>Non-Compliant</v>
      </c>
      <c r="K332" s="1" t="str">
        <f t="shared" si="2"/>
        <v>Non-Incentive</v>
      </c>
      <c r="L332" s="1" t="str">
        <f t="shared" si="3"/>
        <v>TUG</v>
      </c>
      <c r="M332" s="1">
        <f t="shared" si="4"/>
        <v>3</v>
      </c>
      <c r="N332" s="1">
        <f t="shared" si="5"/>
        <v>2017</v>
      </c>
    </row>
    <row r="333" ht="15.75" customHeight="1">
      <c r="A333" s="1" t="s">
        <v>14</v>
      </c>
      <c r="B333" s="1">
        <v>1523411.0</v>
      </c>
      <c r="C333" s="1" t="s">
        <v>1505</v>
      </c>
      <c r="D333" s="1" t="s">
        <v>1518</v>
      </c>
      <c r="E333" s="1" t="s">
        <v>1519</v>
      </c>
      <c r="F333" s="1" t="s">
        <v>1520</v>
      </c>
      <c r="G333" s="1" t="s">
        <v>19</v>
      </c>
      <c r="H333" s="1" t="s">
        <v>1521</v>
      </c>
      <c r="I333" s="1" t="s">
        <v>250</v>
      </c>
      <c r="J333" s="1" t="str">
        <f t="shared" si="1"/>
        <v>Non-Compliant</v>
      </c>
      <c r="K333" s="1" t="str">
        <f t="shared" si="2"/>
        <v>Non-Incentive</v>
      </c>
      <c r="L333" s="1" t="str">
        <f t="shared" si="3"/>
        <v>TUG</v>
      </c>
      <c r="M333" s="1">
        <f t="shared" si="4"/>
        <v>3</v>
      </c>
      <c r="N333" s="1">
        <f t="shared" si="5"/>
        <v>2017</v>
      </c>
    </row>
    <row r="334" ht="15.75" customHeight="1">
      <c r="A334" s="1" t="s">
        <v>14</v>
      </c>
      <c r="B334" s="1">
        <v>1546285.0</v>
      </c>
      <c r="C334" s="1" t="s">
        <v>1522</v>
      </c>
      <c r="D334" s="1" t="s">
        <v>1523</v>
      </c>
      <c r="E334" s="1" t="s">
        <v>1503</v>
      </c>
      <c r="F334" s="1" t="s">
        <v>1524</v>
      </c>
      <c r="G334" s="1" t="s">
        <v>19</v>
      </c>
      <c r="H334" s="1" t="s">
        <v>1525</v>
      </c>
      <c r="I334" s="1" t="s">
        <v>1325</v>
      </c>
      <c r="J334" s="1" t="str">
        <f t="shared" si="1"/>
        <v>Non-Compliant</v>
      </c>
      <c r="K334" s="1" t="str">
        <f t="shared" si="2"/>
        <v>Non-Incentive</v>
      </c>
      <c r="L334" s="1" t="str">
        <f t="shared" si="3"/>
        <v>TUG</v>
      </c>
      <c r="M334" s="1">
        <f t="shared" si="4"/>
        <v>3</v>
      </c>
      <c r="N334" s="1">
        <f t="shared" si="5"/>
        <v>2017</v>
      </c>
    </row>
    <row r="335" ht="15.75" customHeight="1">
      <c r="A335" s="1" t="s">
        <v>14</v>
      </c>
      <c r="B335" s="1">
        <v>1547350.0</v>
      </c>
      <c r="C335" s="1" t="s">
        <v>1522</v>
      </c>
      <c r="D335" s="1" t="s">
        <v>1526</v>
      </c>
      <c r="E335" s="1" t="s">
        <v>1527</v>
      </c>
      <c r="F335" s="1" t="s">
        <v>1528</v>
      </c>
      <c r="G335" s="1" t="s">
        <v>37</v>
      </c>
      <c r="H335" s="1" t="s">
        <v>1529</v>
      </c>
      <c r="I335" s="1" t="s">
        <v>1496</v>
      </c>
      <c r="J335" s="1" t="str">
        <f t="shared" si="1"/>
        <v>Non-Compliant</v>
      </c>
      <c r="K335" s="1" t="str">
        <f t="shared" si="2"/>
        <v>Non-Incentive</v>
      </c>
      <c r="L335" s="1" t="str">
        <f t="shared" si="3"/>
        <v>TUG</v>
      </c>
      <c r="M335" s="1">
        <f t="shared" si="4"/>
        <v>3</v>
      </c>
      <c r="N335" s="1">
        <f t="shared" si="5"/>
        <v>2017</v>
      </c>
    </row>
    <row r="336" ht="15.75" customHeight="1">
      <c r="A336" s="1" t="s">
        <v>14</v>
      </c>
      <c r="B336" s="1">
        <v>1551135.0</v>
      </c>
      <c r="C336" s="1" t="s">
        <v>1522</v>
      </c>
      <c r="D336" s="1" t="s">
        <v>1530</v>
      </c>
      <c r="E336" s="1" t="s">
        <v>1487</v>
      </c>
      <c r="F336" s="1" t="s">
        <v>1531</v>
      </c>
      <c r="G336" s="1" t="s">
        <v>37</v>
      </c>
      <c r="H336" s="1" t="s">
        <v>1532</v>
      </c>
      <c r="I336" s="1" t="s">
        <v>1533</v>
      </c>
      <c r="J336" s="1" t="str">
        <f t="shared" si="1"/>
        <v>Non-Compliant</v>
      </c>
      <c r="K336" s="1" t="str">
        <f t="shared" si="2"/>
        <v>Non-Incentive</v>
      </c>
      <c r="L336" s="1" t="str">
        <f t="shared" si="3"/>
        <v>TUG</v>
      </c>
      <c r="M336" s="1">
        <f t="shared" si="4"/>
        <v>3</v>
      </c>
      <c r="N336" s="1">
        <f t="shared" si="5"/>
        <v>2017</v>
      </c>
    </row>
    <row r="337" ht="15.75" customHeight="1">
      <c r="A337" s="1" t="s">
        <v>14</v>
      </c>
      <c r="B337" s="1">
        <v>1566061.0</v>
      </c>
      <c r="C337" s="1" t="s">
        <v>1534</v>
      </c>
      <c r="D337" s="1" t="s">
        <v>1535</v>
      </c>
      <c r="E337" s="1" t="s">
        <v>1536</v>
      </c>
      <c r="F337" s="1" t="s">
        <v>1537</v>
      </c>
      <c r="G337" s="1" t="s">
        <v>37</v>
      </c>
      <c r="H337" s="1" t="s">
        <v>1538</v>
      </c>
      <c r="I337" s="1" t="s">
        <v>111</v>
      </c>
      <c r="J337" s="1" t="str">
        <f t="shared" si="1"/>
        <v>Non-Compliant</v>
      </c>
      <c r="K337" s="1" t="str">
        <f t="shared" si="2"/>
        <v>Non-Incentive</v>
      </c>
      <c r="L337" s="1" t="str">
        <f t="shared" si="3"/>
        <v>TUG</v>
      </c>
      <c r="M337" s="1">
        <f t="shared" si="4"/>
        <v>3</v>
      </c>
      <c r="N337" s="1">
        <f t="shared" si="5"/>
        <v>2017</v>
      </c>
    </row>
    <row r="338" ht="15.75" customHeight="1">
      <c r="A338" s="1" t="s">
        <v>14</v>
      </c>
      <c r="B338" s="1">
        <v>1568268.0</v>
      </c>
      <c r="C338" s="1" t="s">
        <v>1534</v>
      </c>
      <c r="D338" s="1" t="s">
        <v>1539</v>
      </c>
      <c r="E338" s="1" t="s">
        <v>1467</v>
      </c>
      <c r="F338" s="1" t="s">
        <v>1540</v>
      </c>
      <c r="G338" s="1" t="s">
        <v>19</v>
      </c>
      <c r="H338" s="1" t="s">
        <v>1541</v>
      </c>
      <c r="I338" s="1" t="s">
        <v>1542</v>
      </c>
      <c r="J338" s="1" t="str">
        <f t="shared" si="1"/>
        <v>Non-Compliant</v>
      </c>
      <c r="K338" s="1" t="str">
        <f t="shared" si="2"/>
        <v>Non-Incentive</v>
      </c>
      <c r="L338" s="1" t="str">
        <f t="shared" si="3"/>
        <v>TUG</v>
      </c>
      <c r="M338" s="1">
        <f t="shared" si="4"/>
        <v>3</v>
      </c>
      <c r="N338" s="1">
        <f t="shared" si="5"/>
        <v>2017</v>
      </c>
    </row>
    <row r="339" ht="15.75" customHeight="1">
      <c r="A339" s="1" t="s">
        <v>14</v>
      </c>
      <c r="B339" s="1">
        <v>1579668.0</v>
      </c>
      <c r="C339" s="1" t="s">
        <v>1534</v>
      </c>
      <c r="D339" s="1" t="s">
        <v>1543</v>
      </c>
      <c r="E339" s="1" t="s">
        <v>1544</v>
      </c>
      <c r="F339" s="1" t="s">
        <v>1545</v>
      </c>
      <c r="G339" s="1" t="s">
        <v>19</v>
      </c>
      <c r="H339" s="1" t="s">
        <v>1546</v>
      </c>
      <c r="I339" s="1" t="s">
        <v>1547</v>
      </c>
      <c r="J339" s="1" t="str">
        <f t="shared" si="1"/>
        <v>Non-Compliant</v>
      </c>
      <c r="K339" s="1" t="str">
        <f t="shared" si="2"/>
        <v>Non-Incentive</v>
      </c>
      <c r="L339" s="1" t="str">
        <f t="shared" si="3"/>
        <v>TUG</v>
      </c>
      <c r="M339" s="1">
        <f t="shared" si="4"/>
        <v>3</v>
      </c>
      <c r="N339" s="1">
        <f t="shared" si="5"/>
        <v>2017</v>
      </c>
    </row>
    <row r="340" ht="15.75" customHeight="1">
      <c r="A340" s="1" t="s">
        <v>14</v>
      </c>
      <c r="B340" s="1">
        <v>1580068.0</v>
      </c>
      <c r="C340" s="1" t="s">
        <v>1534</v>
      </c>
      <c r="D340" s="1" t="s">
        <v>1548</v>
      </c>
      <c r="E340" s="1" t="s">
        <v>1549</v>
      </c>
      <c r="F340" s="1" t="s">
        <v>1550</v>
      </c>
      <c r="G340" s="1" t="s">
        <v>19</v>
      </c>
      <c r="H340" s="1" t="s">
        <v>1551</v>
      </c>
      <c r="I340" s="1" t="s">
        <v>1552</v>
      </c>
      <c r="J340" s="1" t="str">
        <f t="shared" si="1"/>
        <v>Non-Compliant</v>
      </c>
      <c r="K340" s="1" t="str">
        <f t="shared" si="2"/>
        <v>Non-Incentive</v>
      </c>
      <c r="L340" s="1" t="str">
        <f t="shared" si="3"/>
        <v>TUG</v>
      </c>
      <c r="M340" s="1">
        <f t="shared" si="4"/>
        <v>3</v>
      </c>
      <c r="N340" s="1">
        <f t="shared" si="5"/>
        <v>2017</v>
      </c>
    </row>
    <row r="341" ht="15.75" customHeight="1">
      <c r="A341" s="1" t="s">
        <v>14</v>
      </c>
      <c r="B341" s="1">
        <v>1609603.0</v>
      </c>
      <c r="C341" s="1" t="s">
        <v>1553</v>
      </c>
      <c r="D341" s="1" t="s">
        <v>1554</v>
      </c>
      <c r="E341" s="1" t="s">
        <v>1555</v>
      </c>
      <c r="F341" s="1" t="s">
        <v>1556</v>
      </c>
      <c r="G341" s="1" t="s">
        <v>37</v>
      </c>
      <c r="H341" s="1" t="s">
        <v>1557</v>
      </c>
      <c r="I341" s="1" t="s">
        <v>1496</v>
      </c>
      <c r="J341" s="1" t="str">
        <f t="shared" si="1"/>
        <v>Non-Compliant</v>
      </c>
      <c r="K341" s="1" t="str">
        <f t="shared" si="2"/>
        <v>Non-Incentive</v>
      </c>
      <c r="L341" s="1" t="str">
        <f t="shared" si="3"/>
        <v>TUG</v>
      </c>
      <c r="M341" s="1">
        <f t="shared" si="4"/>
        <v>3</v>
      </c>
      <c r="N341" s="1">
        <f t="shared" si="5"/>
        <v>2017</v>
      </c>
    </row>
    <row r="342" ht="15.75" customHeight="1">
      <c r="A342" s="1" t="s">
        <v>14</v>
      </c>
      <c r="B342" s="1">
        <v>1614481.0</v>
      </c>
      <c r="C342" s="1" t="s">
        <v>1553</v>
      </c>
      <c r="D342" s="1" t="s">
        <v>1558</v>
      </c>
      <c r="E342" s="1" t="s">
        <v>1559</v>
      </c>
      <c r="F342" s="1" t="s">
        <v>1560</v>
      </c>
      <c r="G342" s="1" t="s">
        <v>37</v>
      </c>
      <c r="H342" s="1" t="s">
        <v>1561</v>
      </c>
      <c r="I342" s="1" t="s">
        <v>1562</v>
      </c>
      <c r="J342" s="1" t="str">
        <f t="shared" si="1"/>
        <v>Non-Compliant</v>
      </c>
      <c r="K342" s="1" t="str">
        <f t="shared" si="2"/>
        <v>Non-Incentive</v>
      </c>
      <c r="L342" s="1" t="str">
        <f t="shared" si="3"/>
        <v>TUG</v>
      </c>
      <c r="M342" s="1">
        <f t="shared" si="4"/>
        <v>3</v>
      </c>
      <c r="N342" s="1">
        <f t="shared" si="5"/>
        <v>2017</v>
      </c>
    </row>
    <row r="343" ht="15.75" customHeight="1">
      <c r="A343" s="1" t="s">
        <v>14</v>
      </c>
      <c r="B343" s="1">
        <v>1616744.0</v>
      </c>
      <c r="C343" s="1" t="s">
        <v>1553</v>
      </c>
      <c r="D343" s="1" t="s">
        <v>1563</v>
      </c>
      <c r="E343" s="1" t="s">
        <v>1564</v>
      </c>
      <c r="F343" s="1" t="s">
        <v>1565</v>
      </c>
      <c r="G343" s="1" t="s">
        <v>19</v>
      </c>
      <c r="H343" s="1" t="s">
        <v>1566</v>
      </c>
      <c r="I343" s="1" t="s">
        <v>1567</v>
      </c>
      <c r="J343" s="1" t="str">
        <f t="shared" si="1"/>
        <v>Non-Compliant</v>
      </c>
      <c r="K343" s="1" t="str">
        <f t="shared" si="2"/>
        <v>Non-Incentive</v>
      </c>
      <c r="L343" s="1" t="str">
        <f t="shared" si="3"/>
        <v>TUG</v>
      </c>
      <c r="M343" s="1">
        <f t="shared" si="4"/>
        <v>3</v>
      </c>
      <c r="N343" s="1">
        <f t="shared" si="5"/>
        <v>2017</v>
      </c>
    </row>
    <row r="344" ht="15.75" customHeight="1">
      <c r="A344" s="1" t="s">
        <v>14</v>
      </c>
      <c r="B344" s="1">
        <v>1622551.0</v>
      </c>
      <c r="C344" s="1" t="s">
        <v>1553</v>
      </c>
      <c r="D344" s="1" t="s">
        <v>1568</v>
      </c>
      <c r="E344" s="1" t="s">
        <v>1549</v>
      </c>
      <c r="F344" s="1" t="s">
        <v>1569</v>
      </c>
      <c r="G344" s="1" t="s">
        <v>19</v>
      </c>
      <c r="H344" s="1" t="s">
        <v>1570</v>
      </c>
      <c r="I344" s="1" t="s">
        <v>1571</v>
      </c>
      <c r="J344" s="1" t="str">
        <f t="shared" si="1"/>
        <v>Non-Compliant</v>
      </c>
      <c r="K344" s="1" t="str">
        <f t="shared" si="2"/>
        <v>Non-Incentive</v>
      </c>
      <c r="L344" s="1" t="str">
        <f t="shared" si="3"/>
        <v>TUG</v>
      </c>
      <c r="M344" s="1">
        <f t="shared" si="4"/>
        <v>3</v>
      </c>
      <c r="N344" s="1">
        <f t="shared" si="5"/>
        <v>2017</v>
      </c>
    </row>
    <row r="345" ht="15.75" customHeight="1">
      <c r="A345" s="1" t="s">
        <v>14</v>
      </c>
      <c r="B345" s="1">
        <v>1622558.0</v>
      </c>
      <c r="C345" s="1" t="s">
        <v>1553</v>
      </c>
      <c r="D345" s="1" t="s">
        <v>1572</v>
      </c>
      <c r="E345" s="1" t="s">
        <v>1573</v>
      </c>
      <c r="F345" s="1" t="s">
        <v>1569</v>
      </c>
      <c r="G345" s="1" t="s">
        <v>19</v>
      </c>
      <c r="H345" s="1" t="s">
        <v>1574</v>
      </c>
      <c r="I345" s="1" t="s">
        <v>1571</v>
      </c>
      <c r="J345" s="1" t="str">
        <f t="shared" si="1"/>
        <v>Non-Compliant</v>
      </c>
      <c r="K345" s="1" t="str">
        <f t="shared" si="2"/>
        <v>Non-Incentive</v>
      </c>
      <c r="L345" s="1" t="str">
        <f t="shared" si="3"/>
        <v>TUG</v>
      </c>
      <c r="M345" s="1">
        <f t="shared" si="4"/>
        <v>3</v>
      </c>
      <c r="N345" s="1">
        <f t="shared" si="5"/>
        <v>2017</v>
      </c>
    </row>
    <row r="346" ht="15.75" customHeight="1">
      <c r="A346" s="1" t="s">
        <v>14</v>
      </c>
      <c r="B346" s="1">
        <v>1630870.0</v>
      </c>
      <c r="C346" s="1" t="s">
        <v>1553</v>
      </c>
      <c r="D346" s="1" t="s">
        <v>1575</v>
      </c>
      <c r="E346" s="1" t="s">
        <v>1549</v>
      </c>
      <c r="F346" s="1" t="s">
        <v>1576</v>
      </c>
      <c r="G346" s="1" t="s">
        <v>19</v>
      </c>
      <c r="H346" s="1" t="s">
        <v>1577</v>
      </c>
      <c r="I346" s="1" t="s">
        <v>1578</v>
      </c>
      <c r="J346" s="1" t="str">
        <f t="shared" si="1"/>
        <v>Non-Compliant</v>
      </c>
      <c r="K346" s="1" t="str">
        <f t="shared" si="2"/>
        <v>Non-Incentive</v>
      </c>
      <c r="L346" s="1" t="str">
        <f t="shared" si="3"/>
        <v>TUG</v>
      </c>
      <c r="M346" s="1">
        <f t="shared" si="4"/>
        <v>3</v>
      </c>
      <c r="N346" s="1">
        <f t="shared" si="5"/>
        <v>2017</v>
      </c>
    </row>
    <row r="347" ht="15.75" customHeight="1">
      <c r="A347" s="1" t="s">
        <v>14</v>
      </c>
      <c r="B347" s="1">
        <v>1657961.0</v>
      </c>
      <c r="C347" s="1" t="s">
        <v>1579</v>
      </c>
      <c r="D347" s="1" t="s">
        <v>1580</v>
      </c>
      <c r="E347" s="1" t="s">
        <v>1581</v>
      </c>
      <c r="F347" s="1" t="s">
        <v>1582</v>
      </c>
      <c r="G347" s="1" t="s">
        <v>37</v>
      </c>
      <c r="H347" s="1" t="s">
        <v>1583</v>
      </c>
      <c r="I347" s="1" t="s">
        <v>1584</v>
      </c>
      <c r="J347" s="1" t="str">
        <f t="shared" si="1"/>
        <v>Non-Compliant</v>
      </c>
      <c r="K347" s="1" t="str">
        <f t="shared" si="2"/>
        <v>Non-Incentive</v>
      </c>
      <c r="L347" s="1" t="str">
        <f t="shared" si="3"/>
        <v>TUG</v>
      </c>
      <c r="M347" s="1">
        <f t="shared" si="4"/>
        <v>3</v>
      </c>
      <c r="N347" s="1">
        <f t="shared" si="5"/>
        <v>2017</v>
      </c>
    </row>
    <row r="348" ht="15.75" customHeight="1">
      <c r="A348" s="1" t="s">
        <v>14</v>
      </c>
      <c r="B348" s="1">
        <v>1668810.0</v>
      </c>
      <c r="C348" s="1" t="s">
        <v>1585</v>
      </c>
      <c r="D348" s="1" t="s">
        <v>1586</v>
      </c>
      <c r="E348" s="1" t="s">
        <v>1587</v>
      </c>
      <c r="F348" s="1" t="s">
        <v>1588</v>
      </c>
      <c r="G348" s="1" t="s">
        <v>37</v>
      </c>
      <c r="H348" s="1" t="s">
        <v>1589</v>
      </c>
      <c r="I348" s="1" t="s">
        <v>1496</v>
      </c>
      <c r="J348" s="1" t="str">
        <f t="shared" si="1"/>
        <v>Non-Compliant</v>
      </c>
      <c r="K348" s="1" t="str">
        <f t="shared" si="2"/>
        <v>Non-Incentive</v>
      </c>
      <c r="L348" s="1" t="str">
        <f t="shared" si="3"/>
        <v>TUG</v>
      </c>
      <c r="M348" s="1">
        <f t="shared" si="4"/>
        <v>3</v>
      </c>
      <c r="N348" s="1">
        <f t="shared" si="5"/>
        <v>2017</v>
      </c>
    </row>
    <row r="349" ht="15.75" customHeight="1">
      <c r="A349" s="1" t="s">
        <v>14</v>
      </c>
      <c r="B349" s="1">
        <v>1670652.0</v>
      </c>
      <c r="C349" s="1" t="s">
        <v>1585</v>
      </c>
      <c r="D349" s="1" t="s">
        <v>1590</v>
      </c>
      <c r="E349" s="1" t="s">
        <v>1591</v>
      </c>
      <c r="F349" s="1" t="s">
        <v>1592</v>
      </c>
      <c r="G349" s="1" t="s">
        <v>19</v>
      </c>
      <c r="H349" s="1" t="s">
        <v>1593</v>
      </c>
      <c r="I349" s="1" t="s">
        <v>1594</v>
      </c>
      <c r="J349" s="1" t="str">
        <f t="shared" si="1"/>
        <v>Non-Compliant</v>
      </c>
      <c r="K349" s="1" t="str">
        <f t="shared" si="2"/>
        <v>Non-Incentive</v>
      </c>
      <c r="L349" s="1" t="str">
        <f t="shared" si="3"/>
        <v>TUG</v>
      </c>
      <c r="M349" s="1">
        <f t="shared" si="4"/>
        <v>3</v>
      </c>
      <c r="N349" s="1">
        <f t="shared" si="5"/>
        <v>2017</v>
      </c>
    </row>
    <row r="350" ht="15.75" customHeight="1">
      <c r="A350" s="1" t="s">
        <v>14</v>
      </c>
      <c r="B350" s="1">
        <v>1671114.0</v>
      </c>
      <c r="C350" s="1" t="s">
        <v>1585</v>
      </c>
      <c r="D350" s="1" t="s">
        <v>1595</v>
      </c>
      <c r="E350" s="1" t="s">
        <v>1596</v>
      </c>
      <c r="F350" s="1" t="s">
        <v>1597</v>
      </c>
      <c r="G350" s="1" t="s">
        <v>19</v>
      </c>
      <c r="H350" s="1" t="s">
        <v>1598</v>
      </c>
      <c r="I350" s="1" t="s">
        <v>1599</v>
      </c>
      <c r="J350" s="1" t="str">
        <f t="shared" si="1"/>
        <v>Non-Compliant</v>
      </c>
      <c r="K350" s="1" t="str">
        <f t="shared" si="2"/>
        <v>Non-Incentive</v>
      </c>
      <c r="L350" s="1" t="str">
        <f t="shared" si="3"/>
        <v>TUG</v>
      </c>
      <c r="M350" s="1">
        <f t="shared" si="4"/>
        <v>3</v>
      </c>
      <c r="N350" s="1">
        <f t="shared" si="5"/>
        <v>2017</v>
      </c>
    </row>
    <row r="351" ht="15.75" customHeight="1">
      <c r="A351" s="1" t="s">
        <v>14</v>
      </c>
      <c r="B351" s="1">
        <v>1673346.0</v>
      </c>
      <c r="C351" s="1" t="s">
        <v>1585</v>
      </c>
      <c r="D351" s="1" t="s">
        <v>1600</v>
      </c>
      <c r="E351" s="1" t="s">
        <v>1555</v>
      </c>
      <c r="F351" s="1" t="s">
        <v>1473</v>
      </c>
      <c r="G351" s="1" t="s">
        <v>37</v>
      </c>
      <c r="H351" s="1" t="s">
        <v>1601</v>
      </c>
      <c r="I351" s="1" t="s">
        <v>1475</v>
      </c>
      <c r="J351" s="1" t="str">
        <f t="shared" si="1"/>
        <v>Non-Compliant</v>
      </c>
      <c r="K351" s="1" t="str">
        <f t="shared" si="2"/>
        <v>Non-Incentive</v>
      </c>
      <c r="L351" s="1" t="str">
        <f t="shared" si="3"/>
        <v>TUG</v>
      </c>
      <c r="M351" s="1">
        <f t="shared" si="4"/>
        <v>3</v>
      </c>
      <c r="N351" s="1">
        <f t="shared" si="5"/>
        <v>2017</v>
      </c>
    </row>
    <row r="352" ht="15.75" customHeight="1">
      <c r="A352" s="1" t="s">
        <v>14</v>
      </c>
      <c r="B352" s="1">
        <v>1682294.0</v>
      </c>
      <c r="C352" s="1" t="s">
        <v>1585</v>
      </c>
      <c r="D352" s="1" t="s">
        <v>1602</v>
      </c>
      <c r="E352" s="1" t="s">
        <v>1603</v>
      </c>
      <c r="F352" s="1" t="s">
        <v>1604</v>
      </c>
      <c r="G352" s="1" t="s">
        <v>19</v>
      </c>
      <c r="H352" s="1" t="s">
        <v>1605</v>
      </c>
      <c r="I352" s="1" t="s">
        <v>1606</v>
      </c>
      <c r="J352" s="1" t="str">
        <f t="shared" si="1"/>
        <v>Non-Compliant</v>
      </c>
      <c r="K352" s="1" t="str">
        <f t="shared" si="2"/>
        <v>Non-Incentive</v>
      </c>
      <c r="L352" s="1" t="str">
        <f t="shared" si="3"/>
        <v>TUG</v>
      </c>
      <c r="M352" s="1">
        <f t="shared" si="4"/>
        <v>3</v>
      </c>
      <c r="N352" s="1">
        <f t="shared" si="5"/>
        <v>2017</v>
      </c>
    </row>
    <row r="353" ht="15.75" customHeight="1">
      <c r="A353" s="1" t="s">
        <v>14</v>
      </c>
      <c r="B353" s="1">
        <v>1694312.0</v>
      </c>
      <c r="C353" s="1" t="s">
        <v>1607</v>
      </c>
      <c r="D353" s="1" t="s">
        <v>1608</v>
      </c>
      <c r="E353" s="1" t="s">
        <v>1587</v>
      </c>
      <c r="F353" s="1" t="s">
        <v>1609</v>
      </c>
      <c r="G353" s="1" t="s">
        <v>37</v>
      </c>
      <c r="H353" s="1" t="s">
        <v>1610</v>
      </c>
      <c r="I353" s="1" t="s">
        <v>1611</v>
      </c>
      <c r="J353" s="1" t="str">
        <f t="shared" si="1"/>
        <v>Non-Compliant</v>
      </c>
      <c r="K353" s="1" t="str">
        <f t="shared" si="2"/>
        <v>Non-Incentive</v>
      </c>
      <c r="L353" s="1" t="str">
        <f t="shared" si="3"/>
        <v>TUG</v>
      </c>
      <c r="M353" s="1">
        <f t="shared" si="4"/>
        <v>3</v>
      </c>
      <c r="N353" s="1">
        <f t="shared" si="5"/>
        <v>2017</v>
      </c>
    </row>
    <row r="354" ht="15.75" customHeight="1">
      <c r="A354" s="1" t="s">
        <v>14</v>
      </c>
      <c r="B354" s="1">
        <v>1696466.0</v>
      </c>
      <c r="C354" s="1" t="s">
        <v>1607</v>
      </c>
      <c r="D354" s="1" t="s">
        <v>1612</v>
      </c>
      <c r="E354" s="1" t="s">
        <v>1613</v>
      </c>
      <c r="F354" s="1" t="s">
        <v>1614</v>
      </c>
      <c r="G354" s="1" t="s">
        <v>37</v>
      </c>
      <c r="H354" s="1" t="s">
        <v>1615</v>
      </c>
      <c r="I354" s="1" t="s">
        <v>1496</v>
      </c>
      <c r="J354" s="1" t="str">
        <f t="shared" si="1"/>
        <v>Non-Compliant</v>
      </c>
      <c r="K354" s="1" t="str">
        <f t="shared" si="2"/>
        <v>Non-Incentive</v>
      </c>
      <c r="L354" s="1" t="str">
        <f t="shared" si="3"/>
        <v>TUG</v>
      </c>
      <c r="M354" s="1">
        <f t="shared" si="4"/>
        <v>3</v>
      </c>
      <c r="N354" s="1">
        <f t="shared" si="5"/>
        <v>2017</v>
      </c>
    </row>
    <row r="355" ht="15.75" customHeight="1">
      <c r="A355" s="1" t="s">
        <v>14</v>
      </c>
      <c r="B355" s="1">
        <v>1705753.0</v>
      </c>
      <c r="C355" s="1" t="s">
        <v>1607</v>
      </c>
      <c r="D355" s="1" t="s">
        <v>1616</v>
      </c>
      <c r="E355" s="1" t="s">
        <v>1617</v>
      </c>
      <c r="F355" s="1" t="s">
        <v>1618</v>
      </c>
      <c r="G355" s="1" t="s">
        <v>19</v>
      </c>
      <c r="H355" s="1" t="s">
        <v>1619</v>
      </c>
      <c r="I355" s="1" t="s">
        <v>1620</v>
      </c>
      <c r="J355" s="1" t="str">
        <f t="shared" si="1"/>
        <v>Non-Compliant</v>
      </c>
      <c r="K355" s="1" t="str">
        <f t="shared" si="2"/>
        <v>Non-Incentive</v>
      </c>
      <c r="L355" s="1" t="str">
        <f t="shared" si="3"/>
        <v>TUG</v>
      </c>
      <c r="M355" s="1">
        <f t="shared" si="4"/>
        <v>3</v>
      </c>
      <c r="N355" s="1">
        <f t="shared" si="5"/>
        <v>2017</v>
      </c>
    </row>
    <row r="356" ht="15.75" customHeight="1">
      <c r="A356" s="1" t="s">
        <v>14</v>
      </c>
      <c r="B356" s="1">
        <v>1718128.0</v>
      </c>
      <c r="C356" s="1" t="s">
        <v>1621</v>
      </c>
      <c r="D356" s="1" t="s">
        <v>1622</v>
      </c>
      <c r="E356" s="1" t="s">
        <v>1564</v>
      </c>
      <c r="F356" s="1" t="s">
        <v>1623</v>
      </c>
      <c r="G356" s="1" t="s">
        <v>19</v>
      </c>
      <c r="H356" s="1" t="s">
        <v>1624</v>
      </c>
      <c r="I356" s="1" t="s">
        <v>1625</v>
      </c>
      <c r="J356" s="1" t="str">
        <f t="shared" si="1"/>
        <v>Non-Compliant</v>
      </c>
      <c r="K356" s="1" t="str">
        <f t="shared" si="2"/>
        <v>Non-Incentive</v>
      </c>
      <c r="L356" s="1" t="str">
        <f t="shared" si="3"/>
        <v>TUG</v>
      </c>
      <c r="M356" s="1">
        <f t="shared" si="4"/>
        <v>3</v>
      </c>
      <c r="N356" s="1">
        <f t="shared" si="5"/>
        <v>2017</v>
      </c>
    </row>
    <row r="357" ht="15.75" customHeight="1">
      <c r="A357" s="1" t="s">
        <v>14</v>
      </c>
      <c r="B357" s="1">
        <v>1719344.0</v>
      </c>
      <c r="C357" s="1" t="s">
        <v>1621</v>
      </c>
      <c r="D357" s="1" t="s">
        <v>1608</v>
      </c>
      <c r="E357" s="1" t="s">
        <v>1559</v>
      </c>
      <c r="F357" s="1" t="s">
        <v>1626</v>
      </c>
      <c r="G357" s="1" t="s">
        <v>37</v>
      </c>
      <c r="H357" s="1" t="s">
        <v>1627</v>
      </c>
      <c r="I357" s="1" t="s">
        <v>1628</v>
      </c>
      <c r="J357" s="1" t="str">
        <f t="shared" si="1"/>
        <v>Non-Compliant</v>
      </c>
      <c r="K357" s="1" t="str">
        <f t="shared" si="2"/>
        <v>Non-Incentive</v>
      </c>
      <c r="L357" s="1" t="str">
        <f t="shared" si="3"/>
        <v>TUG</v>
      </c>
      <c r="M357" s="1">
        <f t="shared" si="4"/>
        <v>3</v>
      </c>
      <c r="N357" s="1">
        <f t="shared" si="5"/>
        <v>2017</v>
      </c>
    </row>
    <row r="358" ht="15.75" customHeight="1">
      <c r="A358" s="1" t="s">
        <v>14</v>
      </c>
      <c r="B358" s="1">
        <v>1729499.0</v>
      </c>
      <c r="C358" s="1" t="s">
        <v>1621</v>
      </c>
      <c r="D358" s="1" t="s">
        <v>1629</v>
      </c>
      <c r="E358" s="1" t="s">
        <v>1630</v>
      </c>
      <c r="F358" s="1" t="s">
        <v>1631</v>
      </c>
      <c r="G358" s="1" t="s">
        <v>19</v>
      </c>
      <c r="H358" s="1" t="s">
        <v>1632</v>
      </c>
      <c r="I358" s="1" t="s">
        <v>1633</v>
      </c>
      <c r="J358" s="1" t="str">
        <f t="shared" si="1"/>
        <v>Non-Compliant</v>
      </c>
      <c r="K358" s="1" t="str">
        <f t="shared" si="2"/>
        <v>Non-Incentive</v>
      </c>
      <c r="L358" s="1" t="str">
        <f t="shared" si="3"/>
        <v>TUG</v>
      </c>
      <c r="M358" s="1">
        <f t="shared" si="4"/>
        <v>3</v>
      </c>
      <c r="N358" s="1">
        <f t="shared" si="5"/>
        <v>2017</v>
      </c>
    </row>
    <row r="359" ht="15.75" customHeight="1">
      <c r="A359" s="1" t="s">
        <v>14</v>
      </c>
      <c r="B359" s="1">
        <v>1752198.0</v>
      </c>
      <c r="C359" s="1" t="s">
        <v>1634</v>
      </c>
      <c r="D359" s="1" t="s">
        <v>1635</v>
      </c>
      <c r="E359" s="1" t="s">
        <v>1603</v>
      </c>
      <c r="F359" s="1" t="s">
        <v>1636</v>
      </c>
      <c r="G359" s="1" t="s">
        <v>19</v>
      </c>
      <c r="H359" s="1" t="s">
        <v>1637</v>
      </c>
      <c r="I359" s="1" t="s">
        <v>1638</v>
      </c>
      <c r="J359" s="1" t="str">
        <f t="shared" si="1"/>
        <v>Non-Compliant</v>
      </c>
      <c r="K359" s="1" t="str">
        <f t="shared" si="2"/>
        <v>Non-Incentive</v>
      </c>
      <c r="L359" s="1" t="str">
        <f t="shared" si="3"/>
        <v>TUG</v>
      </c>
      <c r="M359" s="1">
        <f t="shared" si="4"/>
        <v>3</v>
      </c>
      <c r="N359" s="1">
        <f t="shared" si="5"/>
        <v>2017</v>
      </c>
    </row>
    <row r="360" ht="15.75" customHeight="1">
      <c r="A360" s="1" t="s">
        <v>14</v>
      </c>
      <c r="B360" s="1">
        <v>1773410.0</v>
      </c>
      <c r="C360" s="1" t="s">
        <v>1639</v>
      </c>
      <c r="D360" s="1" t="s">
        <v>1640</v>
      </c>
      <c r="E360" s="1" t="s">
        <v>1641</v>
      </c>
      <c r="F360" s="1" t="s">
        <v>1642</v>
      </c>
      <c r="G360" s="1" t="s">
        <v>37</v>
      </c>
      <c r="H360" s="1" t="s">
        <v>1643</v>
      </c>
      <c r="I360" s="1" t="s">
        <v>1644</v>
      </c>
      <c r="J360" s="1" t="str">
        <f t="shared" si="1"/>
        <v>Non-Compliant</v>
      </c>
      <c r="K360" s="1" t="str">
        <f t="shared" si="2"/>
        <v>Non-Incentive</v>
      </c>
      <c r="L360" s="1" t="str">
        <f t="shared" si="3"/>
        <v>TUG</v>
      </c>
      <c r="M360" s="1">
        <f t="shared" si="4"/>
        <v>3</v>
      </c>
      <c r="N360" s="1">
        <f t="shared" si="5"/>
        <v>2017</v>
      </c>
    </row>
    <row r="361" ht="15.75" customHeight="1">
      <c r="A361" s="1" t="s">
        <v>14</v>
      </c>
      <c r="B361" s="1">
        <v>1773615.0</v>
      </c>
      <c r="C361" s="1" t="s">
        <v>1639</v>
      </c>
      <c r="D361" s="1" t="s">
        <v>1645</v>
      </c>
      <c r="E361" s="1" t="s">
        <v>1603</v>
      </c>
      <c r="F361" s="1" t="s">
        <v>1646</v>
      </c>
      <c r="G361" s="1" t="s">
        <v>19</v>
      </c>
      <c r="H361" s="1" t="s">
        <v>1647</v>
      </c>
      <c r="I361" s="1" t="s">
        <v>1571</v>
      </c>
      <c r="J361" s="1" t="str">
        <f t="shared" si="1"/>
        <v>Non-Compliant</v>
      </c>
      <c r="K361" s="1" t="str">
        <f t="shared" si="2"/>
        <v>Non-Incentive</v>
      </c>
      <c r="L361" s="1" t="str">
        <f t="shared" si="3"/>
        <v>TUG</v>
      </c>
      <c r="M361" s="1">
        <f t="shared" si="4"/>
        <v>3</v>
      </c>
      <c r="N361" s="1">
        <f t="shared" si="5"/>
        <v>2017</v>
      </c>
    </row>
    <row r="362" ht="15.75" customHeight="1">
      <c r="A362" s="1" t="s">
        <v>14</v>
      </c>
      <c r="B362" s="1">
        <v>1779449.0</v>
      </c>
      <c r="C362" s="1" t="s">
        <v>1639</v>
      </c>
      <c r="D362" s="1" t="s">
        <v>1648</v>
      </c>
      <c r="E362" s="1" t="s">
        <v>1649</v>
      </c>
      <c r="F362" s="1" t="s">
        <v>1650</v>
      </c>
      <c r="G362" s="1" t="s">
        <v>19</v>
      </c>
      <c r="H362" s="1" t="s">
        <v>1651</v>
      </c>
      <c r="I362" s="1" t="s">
        <v>1652</v>
      </c>
      <c r="J362" s="1" t="str">
        <f t="shared" si="1"/>
        <v>Non-Compliant</v>
      </c>
      <c r="K362" s="1" t="str">
        <f t="shared" si="2"/>
        <v>Non-Incentive</v>
      </c>
      <c r="L362" s="1" t="str">
        <f t="shared" si="3"/>
        <v>TUG</v>
      </c>
      <c r="M362" s="1">
        <f t="shared" si="4"/>
        <v>3</v>
      </c>
      <c r="N362" s="1">
        <f t="shared" si="5"/>
        <v>2017</v>
      </c>
    </row>
    <row r="363" ht="15.75" customHeight="1">
      <c r="A363" s="1" t="s">
        <v>14</v>
      </c>
      <c r="B363" s="1">
        <v>1780079.0</v>
      </c>
      <c r="C363" s="1" t="s">
        <v>1639</v>
      </c>
      <c r="D363" s="1" t="s">
        <v>1653</v>
      </c>
      <c r="E363" s="1" t="s">
        <v>1603</v>
      </c>
      <c r="F363" s="1" t="s">
        <v>1623</v>
      </c>
      <c r="G363" s="1" t="s">
        <v>19</v>
      </c>
      <c r="H363" s="1" t="s">
        <v>1654</v>
      </c>
      <c r="I363" s="1" t="s">
        <v>1625</v>
      </c>
      <c r="J363" s="1" t="str">
        <f t="shared" si="1"/>
        <v>Non-Compliant</v>
      </c>
      <c r="K363" s="1" t="str">
        <f t="shared" si="2"/>
        <v>Non-Incentive</v>
      </c>
      <c r="L363" s="1" t="str">
        <f t="shared" si="3"/>
        <v>TUG</v>
      </c>
      <c r="M363" s="1">
        <f t="shared" si="4"/>
        <v>3</v>
      </c>
      <c r="N363" s="1">
        <f t="shared" si="5"/>
        <v>2017</v>
      </c>
    </row>
    <row r="364" ht="15.75" customHeight="1">
      <c r="A364" s="1" t="s">
        <v>14</v>
      </c>
      <c r="B364" s="1">
        <v>1787183.0</v>
      </c>
      <c r="C364" s="1" t="s">
        <v>1639</v>
      </c>
      <c r="D364" s="1" t="s">
        <v>1655</v>
      </c>
      <c r="E364" s="1" t="s">
        <v>1656</v>
      </c>
      <c r="F364" s="1" t="s">
        <v>1657</v>
      </c>
      <c r="G364" s="1" t="s">
        <v>19</v>
      </c>
      <c r="H364" s="1" t="s">
        <v>1658</v>
      </c>
      <c r="I364" s="1" t="s">
        <v>1567</v>
      </c>
      <c r="J364" s="1" t="str">
        <f t="shared" si="1"/>
        <v>Non-Compliant</v>
      </c>
      <c r="K364" s="1" t="str">
        <f t="shared" si="2"/>
        <v>Non-Incentive</v>
      </c>
      <c r="L364" s="1" t="str">
        <f t="shared" si="3"/>
        <v>TUG</v>
      </c>
      <c r="M364" s="1">
        <f t="shared" si="4"/>
        <v>3</v>
      </c>
      <c r="N364" s="1">
        <f t="shared" si="5"/>
        <v>2017</v>
      </c>
    </row>
    <row r="365" ht="15.75" customHeight="1">
      <c r="A365" s="1" t="s">
        <v>14</v>
      </c>
      <c r="B365" s="1">
        <v>1789517.0</v>
      </c>
      <c r="C365" s="1" t="s">
        <v>1639</v>
      </c>
      <c r="D365" s="1" t="s">
        <v>1659</v>
      </c>
      <c r="E365" s="1" t="s">
        <v>1660</v>
      </c>
      <c r="F365" s="1" t="s">
        <v>1661</v>
      </c>
      <c r="G365" s="1" t="s">
        <v>19</v>
      </c>
      <c r="H365" s="1" t="s">
        <v>1662</v>
      </c>
      <c r="I365" s="1" t="s">
        <v>32</v>
      </c>
      <c r="J365" s="1" t="str">
        <f t="shared" si="1"/>
        <v>Non-Compliant</v>
      </c>
      <c r="K365" s="1" t="str">
        <f t="shared" si="2"/>
        <v>Non-Incentive</v>
      </c>
      <c r="L365" s="1" t="str">
        <f t="shared" si="3"/>
        <v>TUG</v>
      </c>
      <c r="M365" s="1">
        <f t="shared" si="4"/>
        <v>3</v>
      </c>
      <c r="N365" s="1">
        <f t="shared" si="5"/>
        <v>2017</v>
      </c>
    </row>
    <row r="366" ht="15.75" customHeight="1">
      <c r="A366" s="1" t="s">
        <v>14</v>
      </c>
      <c r="B366" s="1">
        <v>1808535.0</v>
      </c>
      <c r="C366" s="1" t="s">
        <v>1663</v>
      </c>
      <c r="D366" s="1" t="s">
        <v>1664</v>
      </c>
      <c r="E366" s="1" t="s">
        <v>1665</v>
      </c>
      <c r="F366" s="1" t="s">
        <v>1666</v>
      </c>
      <c r="G366" s="1" t="s">
        <v>37</v>
      </c>
      <c r="H366" s="1" t="s">
        <v>1667</v>
      </c>
      <c r="I366" s="1" t="s">
        <v>1644</v>
      </c>
      <c r="J366" s="1" t="str">
        <f t="shared" si="1"/>
        <v>Non-Compliant</v>
      </c>
      <c r="K366" s="1" t="str">
        <f t="shared" si="2"/>
        <v>Non-Incentive</v>
      </c>
      <c r="L366" s="1" t="str">
        <f t="shared" si="3"/>
        <v>TUG</v>
      </c>
      <c r="M366" s="1">
        <f t="shared" si="4"/>
        <v>3</v>
      </c>
      <c r="N366" s="1">
        <f t="shared" si="5"/>
        <v>2017</v>
      </c>
    </row>
    <row r="367" ht="15.75" customHeight="1">
      <c r="A367" s="1" t="s">
        <v>14</v>
      </c>
      <c r="B367" s="1">
        <v>1809398.0</v>
      </c>
      <c r="C367" s="1" t="s">
        <v>1663</v>
      </c>
      <c r="D367" s="1" t="s">
        <v>1668</v>
      </c>
      <c r="E367" s="1" t="s">
        <v>1641</v>
      </c>
      <c r="F367" s="1" t="s">
        <v>1669</v>
      </c>
      <c r="G367" s="1" t="s">
        <v>37</v>
      </c>
      <c r="H367" s="1" t="s">
        <v>1670</v>
      </c>
      <c r="I367" s="1" t="s">
        <v>1671</v>
      </c>
      <c r="J367" s="1" t="str">
        <f t="shared" si="1"/>
        <v>Non-Compliant</v>
      </c>
      <c r="K367" s="1" t="str">
        <f t="shared" si="2"/>
        <v>Non-Incentive</v>
      </c>
      <c r="L367" s="1" t="str">
        <f t="shared" si="3"/>
        <v>TUG</v>
      </c>
      <c r="M367" s="1">
        <f t="shared" si="4"/>
        <v>3</v>
      </c>
      <c r="N367" s="1">
        <f t="shared" si="5"/>
        <v>2017</v>
      </c>
    </row>
    <row r="368" ht="15.75" customHeight="1">
      <c r="A368" s="1" t="s">
        <v>14</v>
      </c>
      <c r="B368" s="1">
        <v>1811286.0</v>
      </c>
      <c r="C368" s="1" t="s">
        <v>1663</v>
      </c>
      <c r="D368" s="1" t="s">
        <v>1672</v>
      </c>
      <c r="E368" s="1" t="s">
        <v>1673</v>
      </c>
      <c r="F368" s="1" t="s">
        <v>1674</v>
      </c>
      <c r="G368" s="1" t="s">
        <v>19</v>
      </c>
      <c r="H368" s="1" t="s">
        <v>1675</v>
      </c>
      <c r="I368" s="1" t="s">
        <v>1676</v>
      </c>
      <c r="J368" s="1" t="str">
        <f t="shared" si="1"/>
        <v>Non-Compliant</v>
      </c>
      <c r="K368" s="1" t="str">
        <f t="shared" si="2"/>
        <v>Non-Incentive</v>
      </c>
      <c r="L368" s="1" t="str">
        <f t="shared" si="3"/>
        <v>TUG</v>
      </c>
      <c r="M368" s="1">
        <f t="shared" si="4"/>
        <v>3</v>
      </c>
      <c r="N368" s="1">
        <f t="shared" si="5"/>
        <v>2017</v>
      </c>
    </row>
    <row r="369" ht="15.75" customHeight="1">
      <c r="A369" s="1" t="s">
        <v>14</v>
      </c>
      <c r="B369" s="1">
        <v>1817413.0</v>
      </c>
      <c r="C369" s="1" t="s">
        <v>1663</v>
      </c>
      <c r="D369" s="1" t="s">
        <v>1677</v>
      </c>
      <c r="E369" s="1" t="s">
        <v>1649</v>
      </c>
      <c r="F369" s="1" t="s">
        <v>1678</v>
      </c>
      <c r="G369" s="1" t="s">
        <v>19</v>
      </c>
      <c r="H369" s="1" t="s">
        <v>1679</v>
      </c>
      <c r="I369" s="1" t="s">
        <v>1652</v>
      </c>
      <c r="J369" s="1" t="str">
        <f t="shared" si="1"/>
        <v>Non-Compliant</v>
      </c>
      <c r="K369" s="1" t="str">
        <f t="shared" si="2"/>
        <v>Non-Incentive</v>
      </c>
      <c r="L369" s="1" t="str">
        <f t="shared" si="3"/>
        <v>TUG</v>
      </c>
      <c r="M369" s="1">
        <f t="shared" si="4"/>
        <v>3</v>
      </c>
      <c r="N369" s="1">
        <f t="shared" si="5"/>
        <v>2017</v>
      </c>
    </row>
    <row r="370" ht="15.75" customHeight="1">
      <c r="A370" s="1" t="s">
        <v>14</v>
      </c>
      <c r="B370" s="1">
        <v>1817472.0</v>
      </c>
      <c r="C370" s="1" t="s">
        <v>1663</v>
      </c>
      <c r="D370" s="1" t="s">
        <v>1680</v>
      </c>
      <c r="E370" s="1" t="s">
        <v>1649</v>
      </c>
      <c r="F370" s="1" t="s">
        <v>1681</v>
      </c>
      <c r="G370" s="1" t="s">
        <v>19</v>
      </c>
      <c r="H370" s="1" t="s">
        <v>1682</v>
      </c>
      <c r="I370" s="1" t="s">
        <v>1652</v>
      </c>
      <c r="J370" s="1" t="str">
        <f t="shared" si="1"/>
        <v>Non-Compliant</v>
      </c>
      <c r="K370" s="1" t="str">
        <f t="shared" si="2"/>
        <v>Non-Incentive</v>
      </c>
      <c r="L370" s="1" t="str">
        <f t="shared" si="3"/>
        <v>TUG</v>
      </c>
      <c r="M370" s="1">
        <f t="shared" si="4"/>
        <v>3</v>
      </c>
      <c r="N370" s="1">
        <f t="shared" si="5"/>
        <v>2017</v>
      </c>
    </row>
    <row r="371" ht="15.75" customHeight="1">
      <c r="A371" s="1" t="s">
        <v>14</v>
      </c>
      <c r="B371" s="1">
        <v>1838515.0</v>
      </c>
      <c r="C371" s="1" t="s">
        <v>1683</v>
      </c>
      <c r="D371" s="1" t="s">
        <v>1684</v>
      </c>
      <c r="E371" s="1" t="s">
        <v>1685</v>
      </c>
      <c r="F371" s="1" t="s">
        <v>1686</v>
      </c>
      <c r="G371" s="1" t="s">
        <v>37</v>
      </c>
      <c r="H371" s="1" t="s">
        <v>1687</v>
      </c>
      <c r="I371" s="1" t="s">
        <v>1688</v>
      </c>
      <c r="J371" s="1" t="str">
        <f t="shared" si="1"/>
        <v>Non-Compliant</v>
      </c>
      <c r="K371" s="1" t="str">
        <f t="shared" si="2"/>
        <v>Non-Incentive</v>
      </c>
      <c r="L371" s="1" t="str">
        <f t="shared" si="3"/>
        <v>TUG</v>
      </c>
      <c r="M371" s="1">
        <f t="shared" si="4"/>
        <v>3</v>
      </c>
      <c r="N371" s="1">
        <f t="shared" si="5"/>
        <v>2017</v>
      </c>
    </row>
    <row r="372" ht="15.75" customHeight="1">
      <c r="A372" s="1" t="s">
        <v>14</v>
      </c>
      <c r="B372" s="1">
        <v>1852350.0</v>
      </c>
      <c r="C372" s="1" t="s">
        <v>1683</v>
      </c>
      <c r="D372" s="1" t="s">
        <v>1689</v>
      </c>
      <c r="E372" s="1" t="s">
        <v>1665</v>
      </c>
      <c r="F372" s="1" t="s">
        <v>1690</v>
      </c>
      <c r="G372" s="1" t="s">
        <v>37</v>
      </c>
      <c r="H372" s="1" t="s">
        <v>1691</v>
      </c>
      <c r="I372" s="1" t="s">
        <v>1692</v>
      </c>
      <c r="J372" s="1" t="str">
        <f t="shared" si="1"/>
        <v>Non-Compliant</v>
      </c>
      <c r="K372" s="1" t="str">
        <f t="shared" si="2"/>
        <v>Non-Incentive</v>
      </c>
      <c r="L372" s="1" t="str">
        <f t="shared" si="3"/>
        <v>TUG</v>
      </c>
      <c r="M372" s="1">
        <f t="shared" si="4"/>
        <v>3</v>
      </c>
      <c r="N372" s="1">
        <f t="shared" si="5"/>
        <v>2017</v>
      </c>
    </row>
    <row r="373" ht="15.75" customHeight="1">
      <c r="A373" s="1" t="s">
        <v>14</v>
      </c>
      <c r="B373" s="1">
        <v>1865148.0</v>
      </c>
      <c r="C373" s="1" t="s">
        <v>1693</v>
      </c>
      <c r="D373" s="1" t="s">
        <v>1608</v>
      </c>
      <c r="E373" s="1" t="s">
        <v>1685</v>
      </c>
      <c r="F373" s="1" t="s">
        <v>1694</v>
      </c>
      <c r="G373" s="1" t="s">
        <v>37</v>
      </c>
      <c r="H373" s="1" t="s">
        <v>1695</v>
      </c>
      <c r="I373" s="1" t="s">
        <v>1696</v>
      </c>
      <c r="J373" s="1" t="str">
        <f t="shared" si="1"/>
        <v>Non-Compliant</v>
      </c>
      <c r="K373" s="1" t="str">
        <f t="shared" si="2"/>
        <v>Non-Incentive</v>
      </c>
      <c r="L373" s="1" t="str">
        <f t="shared" si="3"/>
        <v>TUG</v>
      </c>
      <c r="M373" s="1">
        <f t="shared" si="4"/>
        <v>3</v>
      </c>
      <c r="N373" s="1">
        <f t="shared" si="5"/>
        <v>2017</v>
      </c>
    </row>
    <row r="374" ht="15.75" customHeight="1">
      <c r="A374" s="1" t="s">
        <v>14</v>
      </c>
      <c r="B374" s="1">
        <v>1865329.0</v>
      </c>
      <c r="C374" s="1" t="s">
        <v>1693</v>
      </c>
      <c r="D374" s="1" t="s">
        <v>1697</v>
      </c>
      <c r="E374" s="1" t="s">
        <v>1698</v>
      </c>
      <c r="F374" s="1" t="s">
        <v>1699</v>
      </c>
      <c r="G374" s="1" t="s">
        <v>37</v>
      </c>
      <c r="H374" s="1" t="s">
        <v>1700</v>
      </c>
      <c r="I374" s="1" t="s">
        <v>1701</v>
      </c>
      <c r="J374" s="1" t="str">
        <f t="shared" si="1"/>
        <v>Non-Compliant</v>
      </c>
      <c r="K374" s="1" t="str">
        <f t="shared" si="2"/>
        <v>Non-Incentive</v>
      </c>
      <c r="L374" s="1" t="str">
        <f t="shared" si="3"/>
        <v>TUG</v>
      </c>
      <c r="M374" s="1">
        <f t="shared" si="4"/>
        <v>3</v>
      </c>
      <c r="N374" s="1">
        <f t="shared" si="5"/>
        <v>2017</v>
      </c>
    </row>
    <row r="375" ht="15.75" customHeight="1">
      <c r="A375" s="1" t="s">
        <v>14</v>
      </c>
      <c r="B375" s="1">
        <v>1866627.0</v>
      </c>
      <c r="C375" s="1" t="s">
        <v>1693</v>
      </c>
      <c r="D375" s="1" t="s">
        <v>1702</v>
      </c>
      <c r="E375" s="1" t="s">
        <v>1703</v>
      </c>
      <c r="F375" s="1" t="s">
        <v>1704</v>
      </c>
      <c r="G375" s="1" t="s">
        <v>19</v>
      </c>
      <c r="H375" s="1" t="s">
        <v>1705</v>
      </c>
      <c r="I375" s="1" t="s">
        <v>1706</v>
      </c>
      <c r="J375" s="1" t="str">
        <f t="shared" si="1"/>
        <v>Non-Compliant</v>
      </c>
      <c r="K375" s="1" t="str">
        <f t="shared" si="2"/>
        <v>Non-Incentive</v>
      </c>
      <c r="L375" s="1" t="str">
        <f t="shared" si="3"/>
        <v>TUG</v>
      </c>
      <c r="M375" s="1">
        <f t="shared" si="4"/>
        <v>3</v>
      </c>
      <c r="N375" s="1">
        <f t="shared" si="5"/>
        <v>2017</v>
      </c>
    </row>
    <row r="376" ht="15.75" customHeight="1">
      <c r="A376" s="1" t="s">
        <v>14</v>
      </c>
      <c r="B376" s="1">
        <v>1868552.0</v>
      </c>
      <c r="C376" s="1" t="s">
        <v>1693</v>
      </c>
      <c r="D376" s="1" t="s">
        <v>1608</v>
      </c>
      <c r="E376" s="1" t="s">
        <v>1685</v>
      </c>
      <c r="F376" s="1" t="s">
        <v>1707</v>
      </c>
      <c r="G376" s="1" t="s">
        <v>37</v>
      </c>
      <c r="H376" s="1" t="s">
        <v>1708</v>
      </c>
      <c r="I376" s="1" t="s">
        <v>1709</v>
      </c>
      <c r="J376" s="1" t="str">
        <f t="shared" si="1"/>
        <v>Non-Compliant</v>
      </c>
      <c r="K376" s="1" t="str">
        <f t="shared" si="2"/>
        <v>Non-Incentive</v>
      </c>
      <c r="L376" s="1" t="str">
        <f t="shared" si="3"/>
        <v>TUG</v>
      </c>
      <c r="M376" s="1">
        <f t="shared" si="4"/>
        <v>3</v>
      </c>
      <c r="N376" s="1">
        <f t="shared" si="5"/>
        <v>2017</v>
      </c>
    </row>
    <row r="377" ht="15.75" customHeight="1">
      <c r="A377" s="1" t="s">
        <v>14</v>
      </c>
      <c r="B377" s="1">
        <v>1899578.0</v>
      </c>
      <c r="C377" s="1" t="s">
        <v>1710</v>
      </c>
      <c r="D377" s="1" t="s">
        <v>1711</v>
      </c>
      <c r="E377" s="1" t="s">
        <v>1712</v>
      </c>
      <c r="F377" s="1" t="s">
        <v>1674</v>
      </c>
      <c r="G377" s="1" t="s">
        <v>37</v>
      </c>
      <c r="H377" s="1" t="s">
        <v>1713</v>
      </c>
      <c r="I377" s="1" t="s">
        <v>1676</v>
      </c>
      <c r="J377" s="1" t="str">
        <f t="shared" si="1"/>
        <v>Non-Compliant</v>
      </c>
      <c r="K377" s="1" t="str">
        <f t="shared" si="2"/>
        <v>Non-Incentive</v>
      </c>
      <c r="L377" s="1" t="str">
        <f t="shared" si="3"/>
        <v>TUG</v>
      </c>
      <c r="M377" s="1">
        <f t="shared" si="4"/>
        <v>3</v>
      </c>
      <c r="N377" s="1">
        <f t="shared" si="5"/>
        <v>2017</v>
      </c>
    </row>
    <row r="378" ht="15.75" customHeight="1">
      <c r="A378" s="1" t="s">
        <v>14</v>
      </c>
      <c r="B378" s="1">
        <v>1900474.0</v>
      </c>
      <c r="C378" s="1" t="s">
        <v>1710</v>
      </c>
      <c r="D378" s="1" t="s">
        <v>1714</v>
      </c>
      <c r="E378" s="1" t="s">
        <v>1715</v>
      </c>
      <c r="F378" s="1" t="s">
        <v>1716</v>
      </c>
      <c r="G378" s="1" t="s">
        <v>19</v>
      </c>
      <c r="H378" s="1" t="s">
        <v>1717</v>
      </c>
      <c r="I378" s="1" t="s">
        <v>1718</v>
      </c>
      <c r="J378" s="1" t="str">
        <f t="shared" si="1"/>
        <v>Non-Compliant</v>
      </c>
      <c r="K378" s="1" t="str">
        <f t="shared" si="2"/>
        <v>Non-Incentive</v>
      </c>
      <c r="L378" s="1" t="str">
        <f t="shared" si="3"/>
        <v>TUG</v>
      </c>
      <c r="M378" s="1">
        <f t="shared" si="4"/>
        <v>3</v>
      </c>
      <c r="N378" s="1">
        <f t="shared" si="5"/>
        <v>2017</v>
      </c>
    </row>
    <row r="379" ht="15.75" customHeight="1">
      <c r="A379" s="1" t="s">
        <v>14</v>
      </c>
      <c r="B379" s="1">
        <v>1904114.0</v>
      </c>
      <c r="C379" s="1" t="s">
        <v>1710</v>
      </c>
      <c r="D379" s="1" t="s">
        <v>1719</v>
      </c>
      <c r="E379" s="1" t="s">
        <v>1720</v>
      </c>
      <c r="F379" s="1" t="s">
        <v>1721</v>
      </c>
      <c r="G379" s="1" t="s">
        <v>19</v>
      </c>
      <c r="H379" s="1" t="s">
        <v>1722</v>
      </c>
      <c r="I379" s="1" t="s">
        <v>1723</v>
      </c>
      <c r="J379" s="1" t="str">
        <f t="shared" si="1"/>
        <v>Non-Compliant</v>
      </c>
      <c r="K379" s="1" t="str">
        <f t="shared" si="2"/>
        <v>Non-Incentive</v>
      </c>
      <c r="L379" s="1" t="str">
        <f t="shared" si="3"/>
        <v>TUG</v>
      </c>
      <c r="M379" s="1">
        <f t="shared" si="4"/>
        <v>3</v>
      </c>
      <c r="N379" s="1">
        <f t="shared" si="5"/>
        <v>2017</v>
      </c>
    </row>
    <row r="380" ht="15.75" customHeight="1">
      <c r="A380" s="1" t="s">
        <v>14</v>
      </c>
      <c r="B380" s="1">
        <v>1905542.0</v>
      </c>
      <c r="C380" s="1" t="s">
        <v>1710</v>
      </c>
      <c r="D380" s="1" t="s">
        <v>1724</v>
      </c>
      <c r="E380" s="1" t="s">
        <v>1725</v>
      </c>
      <c r="F380" s="1" t="s">
        <v>1726</v>
      </c>
      <c r="G380" s="1" t="s">
        <v>19</v>
      </c>
      <c r="H380" s="1" t="s">
        <v>1727</v>
      </c>
      <c r="I380" s="1" t="s">
        <v>1723</v>
      </c>
      <c r="J380" s="1" t="str">
        <f t="shared" si="1"/>
        <v>Non-Compliant</v>
      </c>
      <c r="K380" s="1" t="str">
        <f t="shared" si="2"/>
        <v>Non-Incentive</v>
      </c>
      <c r="L380" s="1" t="str">
        <f t="shared" si="3"/>
        <v>TUG</v>
      </c>
      <c r="M380" s="1">
        <f t="shared" si="4"/>
        <v>3</v>
      </c>
      <c r="N380" s="1">
        <f t="shared" si="5"/>
        <v>2017</v>
      </c>
    </row>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2" width="8.75"/>
    <col customWidth="1" min="3" max="3" width="11.13"/>
    <col customWidth="1" min="4" max="4" width="63.88"/>
    <col customWidth="1" min="5" max="5" width="125.13"/>
    <col customWidth="1" min="6" max="6" width="113.88"/>
    <col customWidth="1" min="7" max="7" width="93.0"/>
    <col customWidth="1" min="8" max="8" width="137.25"/>
    <col customWidth="1" min="9" max="9" width="131.25"/>
    <col customWidth="1" min="10" max="10" width="27.25"/>
    <col customWidth="1" min="11" max="12" width="18.5"/>
    <col customWidth="1" min="13" max="13" width="20.0"/>
    <col customWidth="1" min="14" max="14" width="15.25"/>
    <col customWidth="1" min="15" max="23" width="8.63"/>
  </cols>
  <sheetData>
    <row r="1">
      <c r="A1" s="1" t="s">
        <v>0</v>
      </c>
      <c r="B1" s="1" t="s">
        <v>1</v>
      </c>
      <c r="C1" s="1" t="s">
        <v>2</v>
      </c>
      <c r="D1" s="1" t="s">
        <v>3</v>
      </c>
      <c r="E1" s="1" t="s">
        <v>4</v>
      </c>
      <c r="F1" s="1" t="s">
        <v>5</v>
      </c>
      <c r="G1" s="1" t="s">
        <v>6</v>
      </c>
      <c r="H1" s="1" t="s">
        <v>7</v>
      </c>
      <c r="I1" s="1" t="s">
        <v>8</v>
      </c>
      <c r="J1" s="2" t="s">
        <v>9</v>
      </c>
      <c r="K1" s="2" t="s">
        <v>10</v>
      </c>
      <c r="L1" s="2" t="s">
        <v>11</v>
      </c>
      <c r="M1" s="2" t="s">
        <v>12</v>
      </c>
      <c r="N1" s="2" t="s">
        <v>13</v>
      </c>
    </row>
    <row r="2">
      <c r="A2" s="1" t="s">
        <v>14</v>
      </c>
      <c r="B2" s="1">
        <v>7100605.0</v>
      </c>
      <c r="C2" s="1" t="s">
        <v>15</v>
      </c>
      <c r="D2" s="1" t="s">
        <v>22</v>
      </c>
      <c r="E2" s="1" t="s">
        <v>23</v>
      </c>
      <c r="F2" s="1" t="s">
        <v>24</v>
      </c>
      <c r="G2" s="1" t="s">
        <v>19</v>
      </c>
      <c r="H2" s="1" t="s">
        <v>25</v>
      </c>
      <c r="I2" s="1" t="s">
        <v>26</v>
      </c>
      <c r="J2" s="1" t="str">
        <f t="shared" ref="J2:J380" si="1">IF(TRIM(H2)="YES","Compliant","Non-Compliant")</f>
        <v>Non-Compliant</v>
      </c>
      <c r="K2" s="1" t="str">
        <f t="shared" ref="K2:K380" si="2">IF(G2="YES","Incentive","Non-Incentive")</f>
        <v>Non-Incentive</v>
      </c>
      <c r="L2" s="1" t="str">
        <f t="shared" ref="L2:L380" si="3">LEFT(A2,3)</f>
        <v>TUG</v>
      </c>
      <c r="M2" s="1">
        <f t="shared" ref="M2:M380" si="4">IFS(
E2="Completed",1,
E2="Pending",2,
TRUE,3
)</f>
        <v>3</v>
      </c>
      <c r="N2" s="1">
        <f t="shared" ref="N2:N380" si="5">YEAR(C2)</f>
        <v>2017</v>
      </c>
    </row>
    <row r="3">
      <c r="A3" s="1" t="s">
        <v>14</v>
      </c>
      <c r="B3" s="1">
        <v>8322996.0</v>
      </c>
      <c r="C3" s="1" t="s">
        <v>504</v>
      </c>
      <c r="D3" s="1" t="s">
        <v>505</v>
      </c>
      <c r="E3" s="1" t="s">
        <v>400</v>
      </c>
      <c r="F3" s="1" t="s">
        <v>506</v>
      </c>
      <c r="G3" s="1" t="s">
        <v>19</v>
      </c>
      <c r="H3" s="1" t="s">
        <v>507</v>
      </c>
      <c r="I3" s="1" t="s">
        <v>508</v>
      </c>
      <c r="J3" s="1" t="str">
        <f t="shared" si="1"/>
        <v>Non-Compliant</v>
      </c>
      <c r="K3" s="1" t="str">
        <f t="shared" si="2"/>
        <v>Non-Incentive</v>
      </c>
      <c r="L3" s="1" t="str">
        <f t="shared" si="3"/>
        <v>TUG</v>
      </c>
      <c r="M3" s="1">
        <f t="shared" si="4"/>
        <v>3</v>
      </c>
      <c r="N3" s="1">
        <f t="shared" si="5"/>
        <v>2017</v>
      </c>
    </row>
    <row r="4">
      <c r="A4" s="1" t="s">
        <v>14</v>
      </c>
      <c r="B4" s="1">
        <v>8361009.0</v>
      </c>
      <c r="C4" s="1" t="s">
        <v>538</v>
      </c>
      <c r="D4" s="1" t="s">
        <v>543</v>
      </c>
      <c r="E4" s="1" t="s">
        <v>400</v>
      </c>
      <c r="F4" s="1" t="s">
        <v>506</v>
      </c>
      <c r="G4" s="1" t="s">
        <v>544</v>
      </c>
      <c r="H4" s="1" t="s">
        <v>545</v>
      </c>
      <c r="I4" s="1" t="s">
        <v>508</v>
      </c>
      <c r="J4" s="1" t="str">
        <f t="shared" si="1"/>
        <v>Non-Compliant</v>
      </c>
      <c r="K4" s="1" t="str">
        <f t="shared" si="2"/>
        <v>Non-Incentive</v>
      </c>
      <c r="L4" s="1" t="str">
        <f t="shared" si="3"/>
        <v>TUG</v>
      </c>
      <c r="M4" s="1">
        <f t="shared" si="4"/>
        <v>3</v>
      </c>
      <c r="N4" s="1">
        <f t="shared" si="5"/>
        <v>2017</v>
      </c>
    </row>
    <row r="5">
      <c r="A5" s="1" t="s">
        <v>14</v>
      </c>
      <c r="B5" s="1">
        <v>7623801.0</v>
      </c>
      <c r="C5" s="1" t="s">
        <v>44</v>
      </c>
      <c r="D5" s="1" t="s">
        <v>45</v>
      </c>
      <c r="E5" s="1" t="s">
        <v>46</v>
      </c>
      <c r="F5" s="1" t="s">
        <v>47</v>
      </c>
      <c r="G5" s="1" t="s">
        <v>19</v>
      </c>
      <c r="H5" s="1" t="s">
        <v>48</v>
      </c>
      <c r="I5" s="1" t="s">
        <v>49</v>
      </c>
      <c r="J5" s="1" t="str">
        <f t="shared" si="1"/>
        <v>Non-Compliant</v>
      </c>
      <c r="K5" s="1" t="str">
        <f t="shared" si="2"/>
        <v>Non-Incentive</v>
      </c>
      <c r="L5" s="1" t="str">
        <f t="shared" si="3"/>
        <v>TUG</v>
      </c>
      <c r="M5" s="1">
        <f t="shared" si="4"/>
        <v>3</v>
      </c>
      <c r="N5" s="1">
        <f t="shared" si="5"/>
        <v>2017</v>
      </c>
    </row>
    <row r="6">
      <c r="A6" s="1" t="s">
        <v>14</v>
      </c>
      <c r="B6" s="1">
        <v>8395136.0</v>
      </c>
      <c r="C6" s="1" t="s">
        <v>554</v>
      </c>
      <c r="D6" s="1" t="s">
        <v>555</v>
      </c>
      <c r="E6" s="1" t="s">
        <v>524</v>
      </c>
      <c r="F6" s="1" t="s">
        <v>556</v>
      </c>
      <c r="G6" s="1" t="s">
        <v>19</v>
      </c>
      <c r="H6" s="1" t="s">
        <v>557</v>
      </c>
      <c r="I6" s="1" t="s">
        <v>558</v>
      </c>
      <c r="J6" s="1" t="str">
        <f t="shared" si="1"/>
        <v>Non-Compliant</v>
      </c>
      <c r="K6" s="1" t="str">
        <f t="shared" si="2"/>
        <v>Non-Incentive</v>
      </c>
      <c r="L6" s="1" t="str">
        <f t="shared" si="3"/>
        <v>TUG</v>
      </c>
      <c r="M6" s="1">
        <f t="shared" si="4"/>
        <v>3</v>
      </c>
      <c r="N6" s="1">
        <f t="shared" si="5"/>
        <v>2017</v>
      </c>
    </row>
    <row r="7">
      <c r="A7" s="1" t="s">
        <v>14</v>
      </c>
      <c r="B7" s="1">
        <v>7849871.0</v>
      </c>
      <c r="C7" s="1" t="s">
        <v>197</v>
      </c>
      <c r="D7" s="1" t="s">
        <v>201</v>
      </c>
      <c r="E7" s="1" t="s">
        <v>202</v>
      </c>
      <c r="F7" s="1" t="s">
        <v>203</v>
      </c>
      <c r="G7" s="1" t="s">
        <v>19</v>
      </c>
      <c r="H7" s="1" t="s">
        <v>204</v>
      </c>
      <c r="I7" s="1" t="s">
        <v>205</v>
      </c>
      <c r="J7" s="1" t="str">
        <f t="shared" si="1"/>
        <v>Non-Compliant</v>
      </c>
      <c r="K7" s="1" t="str">
        <f t="shared" si="2"/>
        <v>Non-Incentive</v>
      </c>
      <c r="L7" s="1" t="str">
        <f t="shared" si="3"/>
        <v>TUG</v>
      </c>
      <c r="M7" s="1">
        <f t="shared" si="4"/>
        <v>3</v>
      </c>
      <c r="N7" s="1">
        <f t="shared" si="5"/>
        <v>2017</v>
      </c>
    </row>
    <row r="8">
      <c r="A8" s="1" t="s">
        <v>14</v>
      </c>
      <c r="B8" s="1">
        <v>7891796.0</v>
      </c>
      <c r="C8" s="1" t="s">
        <v>214</v>
      </c>
      <c r="D8" s="1" t="s">
        <v>223</v>
      </c>
      <c r="E8" s="1" t="s">
        <v>128</v>
      </c>
      <c r="F8" s="1" t="s">
        <v>224</v>
      </c>
      <c r="G8" s="1" t="s">
        <v>19</v>
      </c>
      <c r="H8" s="1" t="s">
        <v>225</v>
      </c>
      <c r="I8" s="1" t="s">
        <v>226</v>
      </c>
      <c r="J8" s="1" t="str">
        <f t="shared" si="1"/>
        <v>Non-Compliant</v>
      </c>
      <c r="K8" s="1" t="str">
        <f t="shared" si="2"/>
        <v>Non-Incentive</v>
      </c>
      <c r="L8" s="1" t="str">
        <f t="shared" si="3"/>
        <v>TUG</v>
      </c>
      <c r="M8" s="1">
        <f t="shared" si="4"/>
        <v>3</v>
      </c>
      <c r="N8" s="1">
        <f t="shared" si="5"/>
        <v>2017</v>
      </c>
    </row>
    <row r="9">
      <c r="A9" s="1" t="s">
        <v>14</v>
      </c>
      <c r="B9" s="1">
        <v>7852739.0</v>
      </c>
      <c r="C9" s="1" t="s">
        <v>197</v>
      </c>
      <c r="D9" s="1" t="s">
        <v>206</v>
      </c>
      <c r="E9" s="1" t="s">
        <v>128</v>
      </c>
      <c r="F9" s="1" t="s">
        <v>207</v>
      </c>
      <c r="G9" s="1" t="s">
        <v>19</v>
      </c>
      <c r="H9" s="1" t="s">
        <v>208</v>
      </c>
      <c r="I9" s="1" t="s">
        <v>209</v>
      </c>
      <c r="J9" s="1" t="str">
        <f t="shared" si="1"/>
        <v>Non-Compliant</v>
      </c>
      <c r="K9" s="1" t="str">
        <f t="shared" si="2"/>
        <v>Non-Incentive</v>
      </c>
      <c r="L9" s="1" t="str">
        <f t="shared" si="3"/>
        <v>TUG</v>
      </c>
      <c r="M9" s="1">
        <f t="shared" si="4"/>
        <v>3</v>
      </c>
      <c r="N9" s="1">
        <f t="shared" si="5"/>
        <v>2017</v>
      </c>
    </row>
    <row r="10">
      <c r="A10" s="1" t="s">
        <v>14</v>
      </c>
      <c r="B10" s="1">
        <v>8201692.0</v>
      </c>
      <c r="C10" s="1" t="s">
        <v>415</v>
      </c>
      <c r="D10" s="1" t="s">
        <v>416</v>
      </c>
      <c r="E10" s="1" t="s">
        <v>380</v>
      </c>
      <c r="F10" s="1" t="s">
        <v>417</v>
      </c>
      <c r="G10" s="1" t="s">
        <v>19</v>
      </c>
      <c r="H10" s="1" t="s">
        <v>418</v>
      </c>
      <c r="I10" s="1" t="s">
        <v>419</v>
      </c>
      <c r="J10" s="1" t="str">
        <f t="shared" si="1"/>
        <v>Non-Compliant</v>
      </c>
      <c r="K10" s="1" t="str">
        <f t="shared" si="2"/>
        <v>Non-Incentive</v>
      </c>
      <c r="L10" s="1" t="str">
        <f t="shared" si="3"/>
        <v>TUG</v>
      </c>
      <c r="M10" s="1">
        <f t="shared" si="4"/>
        <v>3</v>
      </c>
      <c r="N10" s="1">
        <f t="shared" si="5"/>
        <v>2017</v>
      </c>
    </row>
    <row r="11">
      <c r="A11" s="1" t="s">
        <v>14</v>
      </c>
      <c r="B11" s="1">
        <v>8067051.0</v>
      </c>
      <c r="C11" s="1" t="s">
        <v>316</v>
      </c>
      <c r="D11" s="1" t="s">
        <v>335</v>
      </c>
      <c r="E11" s="1" t="s">
        <v>336</v>
      </c>
      <c r="F11" s="1" t="s">
        <v>337</v>
      </c>
      <c r="G11" s="1" t="s">
        <v>19</v>
      </c>
      <c r="H11" s="1" t="s">
        <v>338</v>
      </c>
      <c r="I11" s="1" t="s">
        <v>339</v>
      </c>
      <c r="J11" s="1" t="str">
        <f t="shared" si="1"/>
        <v>Non-Compliant</v>
      </c>
      <c r="K11" s="1" t="str">
        <f t="shared" si="2"/>
        <v>Non-Incentive</v>
      </c>
      <c r="L11" s="1" t="str">
        <f t="shared" si="3"/>
        <v>TUG</v>
      </c>
      <c r="M11" s="1">
        <f t="shared" si="4"/>
        <v>3</v>
      </c>
      <c r="N11" s="1">
        <f t="shared" si="5"/>
        <v>2017</v>
      </c>
    </row>
    <row r="12">
      <c r="A12" s="1" t="s">
        <v>14</v>
      </c>
      <c r="B12" s="1">
        <v>7774110.0</v>
      </c>
      <c r="C12" s="1" t="s">
        <v>126</v>
      </c>
      <c r="D12" s="1" t="s">
        <v>146</v>
      </c>
      <c r="E12" s="1" t="s">
        <v>147</v>
      </c>
      <c r="F12" s="1" t="s">
        <v>148</v>
      </c>
      <c r="G12" s="1" t="s">
        <v>37</v>
      </c>
      <c r="H12" s="1" t="s">
        <v>149</v>
      </c>
      <c r="I12" s="1" t="s">
        <v>150</v>
      </c>
      <c r="J12" s="1" t="str">
        <f t="shared" si="1"/>
        <v>Non-Compliant</v>
      </c>
      <c r="K12" s="1" t="str">
        <f t="shared" si="2"/>
        <v>Non-Incentive</v>
      </c>
      <c r="L12" s="1" t="str">
        <f t="shared" si="3"/>
        <v>TUG</v>
      </c>
      <c r="M12" s="1">
        <f t="shared" si="4"/>
        <v>3</v>
      </c>
      <c r="N12" s="1">
        <f t="shared" si="5"/>
        <v>2017</v>
      </c>
    </row>
    <row r="13">
      <c r="A13" s="1" t="s">
        <v>14</v>
      </c>
      <c r="B13" s="1">
        <v>8055596.0</v>
      </c>
      <c r="C13" s="1" t="s">
        <v>316</v>
      </c>
      <c r="D13" s="1" t="s">
        <v>317</v>
      </c>
      <c r="E13" s="1" t="s">
        <v>318</v>
      </c>
      <c r="F13" s="1" t="s">
        <v>319</v>
      </c>
      <c r="G13" s="1" t="s">
        <v>19</v>
      </c>
      <c r="H13" s="1" t="s">
        <v>320</v>
      </c>
      <c r="I13" s="1" t="s">
        <v>321</v>
      </c>
      <c r="J13" s="1" t="str">
        <f t="shared" si="1"/>
        <v>Non-Compliant</v>
      </c>
      <c r="K13" s="1" t="str">
        <f t="shared" si="2"/>
        <v>Non-Incentive</v>
      </c>
      <c r="L13" s="1" t="str">
        <f t="shared" si="3"/>
        <v>TUG</v>
      </c>
      <c r="M13" s="1">
        <f t="shared" si="4"/>
        <v>3</v>
      </c>
      <c r="N13" s="1">
        <f t="shared" si="5"/>
        <v>2017</v>
      </c>
    </row>
    <row r="14">
      <c r="A14" s="1" t="s">
        <v>14</v>
      </c>
      <c r="B14" s="1">
        <v>7905312.0</v>
      </c>
      <c r="C14" s="1" t="s">
        <v>227</v>
      </c>
      <c r="D14" s="1" t="s">
        <v>233</v>
      </c>
      <c r="E14" s="1" t="s">
        <v>234</v>
      </c>
      <c r="F14" s="1" t="s">
        <v>235</v>
      </c>
      <c r="G14" s="1" t="s">
        <v>19</v>
      </c>
      <c r="H14" s="1" t="s">
        <v>236</v>
      </c>
      <c r="I14" s="1" t="s">
        <v>237</v>
      </c>
      <c r="J14" s="1" t="str">
        <f t="shared" si="1"/>
        <v>Non-Compliant</v>
      </c>
      <c r="K14" s="1" t="str">
        <f t="shared" si="2"/>
        <v>Non-Incentive</v>
      </c>
      <c r="L14" s="1" t="str">
        <f t="shared" si="3"/>
        <v>TUG</v>
      </c>
      <c r="M14" s="1">
        <f t="shared" si="4"/>
        <v>3</v>
      </c>
      <c r="N14" s="1">
        <f t="shared" si="5"/>
        <v>2017</v>
      </c>
    </row>
    <row r="15">
      <c r="A15" s="1" t="s">
        <v>14</v>
      </c>
      <c r="B15" s="1">
        <v>7640213.0</v>
      </c>
      <c r="C15" s="1" t="s">
        <v>44</v>
      </c>
      <c r="D15" s="1" t="s">
        <v>54</v>
      </c>
      <c r="E15" s="1" t="s">
        <v>55</v>
      </c>
      <c r="F15" s="1" t="s">
        <v>56</v>
      </c>
      <c r="G15" s="1" t="s">
        <v>19</v>
      </c>
      <c r="H15" s="1" t="s">
        <v>57</v>
      </c>
      <c r="I15" s="1" t="s">
        <v>58</v>
      </c>
      <c r="J15" s="1" t="str">
        <f t="shared" si="1"/>
        <v>Non-Compliant</v>
      </c>
      <c r="K15" s="1" t="str">
        <f t="shared" si="2"/>
        <v>Non-Incentive</v>
      </c>
      <c r="L15" s="1" t="str">
        <f t="shared" si="3"/>
        <v>TUG</v>
      </c>
      <c r="M15" s="1">
        <f t="shared" si="4"/>
        <v>3</v>
      </c>
      <c r="N15" s="1">
        <f t="shared" si="5"/>
        <v>2017</v>
      </c>
    </row>
    <row r="16">
      <c r="A16" s="1" t="s">
        <v>14</v>
      </c>
      <c r="B16" s="1">
        <v>8146066.0</v>
      </c>
      <c r="C16" s="1" t="s">
        <v>362</v>
      </c>
      <c r="D16" s="1" t="s">
        <v>379</v>
      </c>
      <c r="E16" s="1" t="s">
        <v>380</v>
      </c>
      <c r="F16" s="1" t="s">
        <v>381</v>
      </c>
      <c r="G16" s="1" t="s">
        <v>19</v>
      </c>
      <c r="H16" s="1" t="s">
        <v>382</v>
      </c>
      <c r="I16" s="1" t="s">
        <v>383</v>
      </c>
      <c r="J16" s="1" t="str">
        <f t="shared" si="1"/>
        <v>Non-Compliant</v>
      </c>
      <c r="K16" s="1" t="str">
        <f t="shared" si="2"/>
        <v>Non-Incentive</v>
      </c>
      <c r="L16" s="1" t="str">
        <f t="shared" si="3"/>
        <v>TUG</v>
      </c>
      <c r="M16" s="1">
        <f t="shared" si="4"/>
        <v>3</v>
      </c>
      <c r="N16" s="1">
        <f t="shared" si="5"/>
        <v>2017</v>
      </c>
    </row>
    <row r="17">
      <c r="A17" s="1" t="s">
        <v>14</v>
      </c>
      <c r="B17" s="1">
        <v>8146068.0</v>
      </c>
      <c r="C17" s="1" t="s">
        <v>362</v>
      </c>
      <c r="D17" s="1" t="s">
        <v>384</v>
      </c>
      <c r="E17" s="1" t="s">
        <v>267</v>
      </c>
      <c r="F17" s="1" t="s">
        <v>381</v>
      </c>
      <c r="G17" s="1" t="s">
        <v>19</v>
      </c>
      <c r="H17" s="1" t="s">
        <v>385</v>
      </c>
      <c r="I17" s="1" t="s">
        <v>383</v>
      </c>
      <c r="J17" s="1" t="str">
        <f t="shared" si="1"/>
        <v>Non-Compliant</v>
      </c>
      <c r="K17" s="1" t="str">
        <f t="shared" si="2"/>
        <v>Non-Incentive</v>
      </c>
      <c r="L17" s="1" t="str">
        <f t="shared" si="3"/>
        <v>TUG</v>
      </c>
      <c r="M17" s="1">
        <f t="shared" si="4"/>
        <v>3</v>
      </c>
      <c r="N17" s="1">
        <f t="shared" si="5"/>
        <v>2017</v>
      </c>
    </row>
    <row r="18">
      <c r="A18" s="1" t="s">
        <v>14</v>
      </c>
      <c r="B18" s="1">
        <v>7970037.0</v>
      </c>
      <c r="C18" s="1" t="s">
        <v>261</v>
      </c>
      <c r="D18" s="1" t="s">
        <v>277</v>
      </c>
      <c r="E18" s="1" t="s">
        <v>278</v>
      </c>
      <c r="F18" s="1" t="s">
        <v>279</v>
      </c>
      <c r="G18" s="1" t="s">
        <v>19</v>
      </c>
      <c r="H18" s="1" t="s">
        <v>280</v>
      </c>
      <c r="I18" s="1" t="s">
        <v>281</v>
      </c>
      <c r="J18" s="1" t="str">
        <f t="shared" si="1"/>
        <v>Non-Compliant</v>
      </c>
      <c r="K18" s="1" t="str">
        <f t="shared" si="2"/>
        <v>Non-Incentive</v>
      </c>
      <c r="L18" s="1" t="str">
        <f t="shared" si="3"/>
        <v>TUG</v>
      </c>
      <c r="M18" s="1">
        <f t="shared" si="4"/>
        <v>3</v>
      </c>
      <c r="N18" s="1">
        <f t="shared" si="5"/>
        <v>2017</v>
      </c>
    </row>
    <row r="19">
      <c r="A19" s="1" t="s">
        <v>14</v>
      </c>
      <c r="B19" s="1">
        <v>8090388.0</v>
      </c>
      <c r="C19" s="1" t="s">
        <v>340</v>
      </c>
      <c r="D19" s="1" t="s">
        <v>346</v>
      </c>
      <c r="E19" s="1" t="s">
        <v>267</v>
      </c>
      <c r="F19" s="1" t="s">
        <v>347</v>
      </c>
      <c r="G19" s="1" t="s">
        <v>19</v>
      </c>
      <c r="H19" s="1" t="s">
        <v>348</v>
      </c>
      <c r="I19" s="1" t="s">
        <v>281</v>
      </c>
      <c r="J19" s="1" t="str">
        <f t="shared" si="1"/>
        <v>Non-Compliant</v>
      </c>
      <c r="K19" s="1" t="str">
        <f t="shared" si="2"/>
        <v>Non-Incentive</v>
      </c>
      <c r="L19" s="1" t="str">
        <f t="shared" si="3"/>
        <v>TUG</v>
      </c>
      <c r="M19" s="1">
        <f t="shared" si="4"/>
        <v>3</v>
      </c>
      <c r="N19" s="1">
        <f t="shared" si="5"/>
        <v>2017</v>
      </c>
    </row>
    <row r="20">
      <c r="A20" s="1" t="s">
        <v>14</v>
      </c>
      <c r="B20" s="1">
        <v>7944561.0</v>
      </c>
      <c r="C20" s="1" t="s">
        <v>245</v>
      </c>
      <c r="D20" s="1" t="s">
        <v>253</v>
      </c>
      <c r="E20" s="1" t="s">
        <v>254</v>
      </c>
      <c r="F20" s="1" t="s">
        <v>255</v>
      </c>
      <c r="G20" s="1" t="s">
        <v>19</v>
      </c>
      <c r="H20" s="1" t="s">
        <v>256</v>
      </c>
      <c r="I20" s="1" t="s">
        <v>257</v>
      </c>
      <c r="J20" s="1" t="str">
        <f t="shared" si="1"/>
        <v>Non-Compliant</v>
      </c>
      <c r="K20" s="1" t="str">
        <f t="shared" si="2"/>
        <v>Non-Incentive</v>
      </c>
      <c r="L20" s="1" t="str">
        <f t="shared" si="3"/>
        <v>TUG</v>
      </c>
      <c r="M20" s="1">
        <f t="shared" si="4"/>
        <v>3</v>
      </c>
      <c r="N20" s="1">
        <f t="shared" si="5"/>
        <v>2017</v>
      </c>
    </row>
    <row r="21" ht="15.75" customHeight="1">
      <c r="A21" s="1" t="s">
        <v>14</v>
      </c>
      <c r="B21" s="1">
        <v>8159434.0</v>
      </c>
      <c r="C21" s="1" t="s">
        <v>386</v>
      </c>
      <c r="D21" s="1" t="s">
        <v>387</v>
      </c>
      <c r="E21" s="1" t="s">
        <v>388</v>
      </c>
      <c r="F21" s="1" t="s">
        <v>389</v>
      </c>
      <c r="G21" s="1" t="s">
        <v>19</v>
      </c>
      <c r="H21" s="1" t="s">
        <v>390</v>
      </c>
      <c r="I21" s="1" t="s">
        <v>391</v>
      </c>
      <c r="J21" s="1" t="str">
        <f t="shared" si="1"/>
        <v>Non-Compliant</v>
      </c>
      <c r="K21" s="1" t="str">
        <f t="shared" si="2"/>
        <v>Non-Incentive</v>
      </c>
      <c r="L21" s="1" t="str">
        <f t="shared" si="3"/>
        <v>TUG</v>
      </c>
      <c r="M21" s="1">
        <f t="shared" si="4"/>
        <v>3</v>
      </c>
      <c r="N21" s="1">
        <f t="shared" si="5"/>
        <v>2017</v>
      </c>
    </row>
    <row r="22" ht="15.75" customHeight="1">
      <c r="A22" s="1" t="s">
        <v>14</v>
      </c>
      <c r="B22" s="1">
        <v>8160683.0</v>
      </c>
      <c r="C22" s="1" t="s">
        <v>386</v>
      </c>
      <c r="D22" s="1" t="s">
        <v>392</v>
      </c>
      <c r="E22" s="1" t="s">
        <v>388</v>
      </c>
      <c r="F22" s="1" t="s">
        <v>389</v>
      </c>
      <c r="G22" s="1" t="s">
        <v>19</v>
      </c>
      <c r="H22" s="1" t="s">
        <v>393</v>
      </c>
      <c r="I22" s="1" t="s">
        <v>391</v>
      </c>
      <c r="J22" s="1" t="str">
        <f t="shared" si="1"/>
        <v>Non-Compliant</v>
      </c>
      <c r="K22" s="1" t="str">
        <f t="shared" si="2"/>
        <v>Non-Incentive</v>
      </c>
      <c r="L22" s="1" t="str">
        <f t="shared" si="3"/>
        <v>TUG</v>
      </c>
      <c r="M22" s="1">
        <f t="shared" si="4"/>
        <v>3</v>
      </c>
      <c r="N22" s="1">
        <f t="shared" si="5"/>
        <v>2017</v>
      </c>
    </row>
    <row r="23" ht="15.75" customHeight="1">
      <c r="A23" s="1" t="s">
        <v>14</v>
      </c>
      <c r="B23" s="1">
        <v>8348694.0</v>
      </c>
      <c r="C23" s="1" t="s">
        <v>538</v>
      </c>
      <c r="D23" s="1" t="s">
        <v>539</v>
      </c>
      <c r="E23" s="1" t="s">
        <v>540</v>
      </c>
      <c r="F23" s="1" t="s">
        <v>541</v>
      </c>
      <c r="G23" s="1" t="s">
        <v>19</v>
      </c>
      <c r="H23" s="1" t="s">
        <v>542</v>
      </c>
      <c r="I23" s="1" t="s">
        <v>391</v>
      </c>
      <c r="J23" s="1" t="str">
        <f t="shared" si="1"/>
        <v>Non-Compliant</v>
      </c>
      <c r="K23" s="1" t="str">
        <f t="shared" si="2"/>
        <v>Non-Incentive</v>
      </c>
      <c r="L23" s="1" t="str">
        <f t="shared" si="3"/>
        <v>TUG</v>
      </c>
      <c r="M23" s="1">
        <f t="shared" si="4"/>
        <v>3</v>
      </c>
      <c r="N23" s="1">
        <f t="shared" si="5"/>
        <v>2017</v>
      </c>
    </row>
    <row r="24" ht="15.75" customHeight="1">
      <c r="A24" s="1" t="s">
        <v>14</v>
      </c>
      <c r="B24" s="1">
        <v>8610604.0</v>
      </c>
      <c r="C24" s="1" t="s">
        <v>687</v>
      </c>
      <c r="D24" s="1" t="s">
        <v>720</v>
      </c>
      <c r="E24" s="1" t="s">
        <v>721</v>
      </c>
      <c r="F24" s="1" t="s">
        <v>722</v>
      </c>
      <c r="G24" s="1" t="s">
        <v>19</v>
      </c>
      <c r="H24" s="1" t="s">
        <v>723</v>
      </c>
      <c r="I24" s="1" t="s">
        <v>724</v>
      </c>
      <c r="J24" s="1" t="str">
        <f t="shared" si="1"/>
        <v>Non-Compliant</v>
      </c>
      <c r="K24" s="1" t="str">
        <f t="shared" si="2"/>
        <v>Non-Incentive</v>
      </c>
      <c r="L24" s="1" t="str">
        <f t="shared" si="3"/>
        <v>TUG</v>
      </c>
      <c r="M24" s="1">
        <f t="shared" si="4"/>
        <v>3</v>
      </c>
      <c r="N24" s="1">
        <f t="shared" si="5"/>
        <v>2017</v>
      </c>
    </row>
    <row r="25" ht="15.75" customHeight="1">
      <c r="A25" s="1" t="s">
        <v>14</v>
      </c>
      <c r="B25" s="1">
        <v>8849157.0</v>
      </c>
      <c r="C25" s="1" t="s">
        <v>821</v>
      </c>
      <c r="D25" s="1" t="s">
        <v>827</v>
      </c>
      <c r="E25" s="1" t="s">
        <v>828</v>
      </c>
      <c r="F25" s="1" t="s">
        <v>829</v>
      </c>
      <c r="G25" s="1" t="s">
        <v>19</v>
      </c>
      <c r="H25" s="1" t="s">
        <v>830</v>
      </c>
      <c r="I25" s="1" t="s">
        <v>831</v>
      </c>
      <c r="J25" s="1" t="str">
        <f t="shared" si="1"/>
        <v>Non-Compliant</v>
      </c>
      <c r="K25" s="1" t="str">
        <f t="shared" si="2"/>
        <v>Non-Incentive</v>
      </c>
      <c r="L25" s="1" t="str">
        <f t="shared" si="3"/>
        <v>TUG</v>
      </c>
      <c r="M25" s="1">
        <f t="shared" si="4"/>
        <v>3</v>
      </c>
      <c r="N25" s="1">
        <f t="shared" si="5"/>
        <v>2017</v>
      </c>
    </row>
    <row r="26" ht="15.75" customHeight="1">
      <c r="A26" s="1" t="s">
        <v>14</v>
      </c>
      <c r="B26" s="1">
        <v>8304313.0</v>
      </c>
      <c r="C26" s="1" t="s">
        <v>495</v>
      </c>
      <c r="D26" s="1" t="s">
        <v>496</v>
      </c>
      <c r="E26" s="1" t="s">
        <v>388</v>
      </c>
      <c r="F26" s="1" t="s">
        <v>497</v>
      </c>
      <c r="G26" s="1" t="s">
        <v>19</v>
      </c>
      <c r="H26" s="1" t="s">
        <v>498</v>
      </c>
      <c r="I26" s="1" t="s">
        <v>499</v>
      </c>
      <c r="J26" s="1" t="str">
        <f t="shared" si="1"/>
        <v>Non-Compliant</v>
      </c>
      <c r="K26" s="1" t="str">
        <f t="shared" si="2"/>
        <v>Non-Incentive</v>
      </c>
      <c r="L26" s="1" t="str">
        <f t="shared" si="3"/>
        <v>TUG</v>
      </c>
      <c r="M26" s="1">
        <f t="shared" si="4"/>
        <v>3</v>
      </c>
      <c r="N26" s="1">
        <f t="shared" si="5"/>
        <v>2017</v>
      </c>
    </row>
    <row r="27" ht="15.75" customHeight="1">
      <c r="A27" s="1" t="s">
        <v>14</v>
      </c>
      <c r="B27" s="1">
        <v>8173971.0</v>
      </c>
      <c r="C27" s="1" t="s">
        <v>386</v>
      </c>
      <c r="D27" s="1" t="s">
        <v>403</v>
      </c>
      <c r="E27" s="1" t="s">
        <v>323</v>
      </c>
      <c r="F27" s="1" t="s">
        <v>404</v>
      </c>
      <c r="G27" s="1" t="s">
        <v>19</v>
      </c>
      <c r="H27" s="1" t="s">
        <v>405</v>
      </c>
      <c r="I27" s="1" t="s">
        <v>406</v>
      </c>
      <c r="J27" s="1" t="str">
        <f t="shared" si="1"/>
        <v>Non-Compliant</v>
      </c>
      <c r="K27" s="1" t="str">
        <f t="shared" si="2"/>
        <v>Non-Incentive</v>
      </c>
      <c r="L27" s="1" t="str">
        <f t="shared" si="3"/>
        <v>TUG</v>
      </c>
      <c r="M27" s="1">
        <f t="shared" si="4"/>
        <v>3</v>
      </c>
      <c r="N27" s="1">
        <f t="shared" si="5"/>
        <v>2017</v>
      </c>
    </row>
    <row r="28" ht="15.75" customHeight="1">
      <c r="A28" s="1" t="s">
        <v>14</v>
      </c>
      <c r="B28" s="1">
        <v>8234289.0</v>
      </c>
      <c r="C28" s="1" t="s">
        <v>448</v>
      </c>
      <c r="D28" s="1" t="s">
        <v>449</v>
      </c>
      <c r="E28" s="1" t="s">
        <v>450</v>
      </c>
      <c r="F28" s="1" t="s">
        <v>451</v>
      </c>
      <c r="G28" s="1" t="s">
        <v>19</v>
      </c>
      <c r="H28" s="1" t="s">
        <v>452</v>
      </c>
      <c r="I28" s="1" t="s">
        <v>406</v>
      </c>
      <c r="J28" s="1" t="str">
        <f t="shared" si="1"/>
        <v>Non-Compliant</v>
      </c>
      <c r="K28" s="1" t="str">
        <f t="shared" si="2"/>
        <v>Non-Incentive</v>
      </c>
      <c r="L28" s="1" t="str">
        <f t="shared" si="3"/>
        <v>TUG</v>
      </c>
      <c r="M28" s="1">
        <f t="shared" si="4"/>
        <v>3</v>
      </c>
      <c r="N28" s="1">
        <f t="shared" si="5"/>
        <v>2017</v>
      </c>
    </row>
    <row r="29" ht="15.75" customHeight="1">
      <c r="A29" s="1" t="s">
        <v>14</v>
      </c>
      <c r="B29" s="1">
        <v>7712075.0</v>
      </c>
      <c r="C29" s="1" t="s">
        <v>93</v>
      </c>
      <c r="D29" s="1" t="s">
        <v>98</v>
      </c>
      <c r="E29" s="1" t="s">
        <v>78</v>
      </c>
      <c r="F29" s="1" t="s">
        <v>99</v>
      </c>
      <c r="G29" s="1" t="s">
        <v>19</v>
      </c>
      <c r="H29" s="1" t="s">
        <v>100</v>
      </c>
      <c r="I29" s="1" t="s">
        <v>101</v>
      </c>
      <c r="J29" s="1" t="str">
        <f t="shared" si="1"/>
        <v>Non-Compliant</v>
      </c>
      <c r="K29" s="1" t="str">
        <f t="shared" si="2"/>
        <v>Non-Incentive</v>
      </c>
      <c r="L29" s="1" t="str">
        <f t="shared" si="3"/>
        <v>TUG</v>
      </c>
      <c r="M29" s="1">
        <f t="shared" si="4"/>
        <v>3</v>
      </c>
      <c r="N29" s="1">
        <f t="shared" si="5"/>
        <v>2017</v>
      </c>
    </row>
    <row r="30" ht="15.75" customHeight="1">
      <c r="A30" s="1" t="s">
        <v>14</v>
      </c>
      <c r="B30" s="1">
        <v>8424214.0</v>
      </c>
      <c r="C30" s="1" t="s">
        <v>571</v>
      </c>
      <c r="D30" s="1" t="s">
        <v>572</v>
      </c>
      <c r="E30" s="1" t="s">
        <v>524</v>
      </c>
      <c r="F30" s="1" t="s">
        <v>573</v>
      </c>
      <c r="G30" s="1" t="s">
        <v>37</v>
      </c>
      <c r="H30" s="1" t="s">
        <v>574</v>
      </c>
      <c r="I30" s="1" t="s">
        <v>575</v>
      </c>
      <c r="J30" s="1" t="str">
        <f t="shared" si="1"/>
        <v>Non-Compliant</v>
      </c>
      <c r="K30" s="1" t="str">
        <f t="shared" si="2"/>
        <v>Non-Incentive</v>
      </c>
      <c r="L30" s="1" t="str">
        <f t="shared" si="3"/>
        <v>TUG</v>
      </c>
      <c r="M30" s="1">
        <f t="shared" si="4"/>
        <v>3</v>
      </c>
      <c r="N30" s="1">
        <f t="shared" si="5"/>
        <v>2017</v>
      </c>
    </row>
    <row r="31" ht="15.75" customHeight="1">
      <c r="A31" s="1" t="s">
        <v>14</v>
      </c>
      <c r="B31" s="1">
        <v>7970441.0</v>
      </c>
      <c r="C31" s="1" t="s">
        <v>261</v>
      </c>
      <c r="D31" s="1" t="s">
        <v>282</v>
      </c>
      <c r="E31" s="1" t="s">
        <v>189</v>
      </c>
      <c r="F31" s="1" t="s">
        <v>283</v>
      </c>
      <c r="G31" s="1" t="s">
        <v>19</v>
      </c>
      <c r="H31" s="1" t="s">
        <v>284</v>
      </c>
      <c r="I31" s="1" t="s">
        <v>285</v>
      </c>
      <c r="J31" s="1" t="str">
        <f t="shared" si="1"/>
        <v>Non-Compliant</v>
      </c>
      <c r="K31" s="1" t="str">
        <f t="shared" si="2"/>
        <v>Non-Incentive</v>
      </c>
      <c r="L31" s="1" t="str">
        <f t="shared" si="3"/>
        <v>TUG</v>
      </c>
      <c r="M31" s="1">
        <f t="shared" si="4"/>
        <v>3</v>
      </c>
      <c r="N31" s="1">
        <f t="shared" si="5"/>
        <v>2017</v>
      </c>
    </row>
    <row r="32" ht="15.75" customHeight="1">
      <c r="A32" s="1" t="s">
        <v>14</v>
      </c>
      <c r="B32" s="1">
        <v>8235656.0</v>
      </c>
      <c r="C32" s="1" t="s">
        <v>448</v>
      </c>
      <c r="D32" s="1" t="s">
        <v>453</v>
      </c>
      <c r="E32" s="1" t="s">
        <v>388</v>
      </c>
      <c r="F32" s="1" t="s">
        <v>454</v>
      </c>
      <c r="G32" s="1" t="s">
        <v>455</v>
      </c>
      <c r="H32" s="1" t="s">
        <v>456</v>
      </c>
      <c r="I32" s="1" t="s">
        <v>457</v>
      </c>
      <c r="J32" s="1" t="str">
        <f t="shared" si="1"/>
        <v>Non-Compliant</v>
      </c>
      <c r="K32" s="1" t="str">
        <f t="shared" si="2"/>
        <v>Non-Incentive</v>
      </c>
      <c r="L32" s="1" t="str">
        <f t="shared" si="3"/>
        <v>TUG</v>
      </c>
      <c r="M32" s="1">
        <f t="shared" si="4"/>
        <v>3</v>
      </c>
      <c r="N32" s="1">
        <f t="shared" si="5"/>
        <v>2017</v>
      </c>
    </row>
    <row r="33" ht="15.75" customHeight="1">
      <c r="A33" s="1" t="s">
        <v>14</v>
      </c>
      <c r="B33" s="1">
        <v>8228343.0</v>
      </c>
      <c r="C33" s="1" t="s">
        <v>415</v>
      </c>
      <c r="D33" s="1" t="s">
        <v>442</v>
      </c>
      <c r="E33" s="1" t="s">
        <v>443</v>
      </c>
      <c r="F33" s="1" t="s">
        <v>444</v>
      </c>
      <c r="G33" s="1" t="s">
        <v>445</v>
      </c>
      <c r="H33" s="1" t="s">
        <v>446</v>
      </c>
      <c r="I33" s="1" t="s">
        <v>447</v>
      </c>
      <c r="J33" s="1" t="str">
        <f t="shared" si="1"/>
        <v>Non-Compliant</v>
      </c>
      <c r="K33" s="1" t="str">
        <f t="shared" si="2"/>
        <v>Non-Incentive</v>
      </c>
      <c r="L33" s="1" t="str">
        <f t="shared" si="3"/>
        <v>TUG</v>
      </c>
      <c r="M33" s="1">
        <f t="shared" si="4"/>
        <v>3</v>
      </c>
      <c r="N33" s="1">
        <f t="shared" si="5"/>
        <v>2017</v>
      </c>
    </row>
    <row r="34" ht="15.75" customHeight="1">
      <c r="A34" s="1" t="s">
        <v>14</v>
      </c>
      <c r="B34" s="1">
        <v>8338807.0</v>
      </c>
      <c r="C34" s="1" t="s">
        <v>504</v>
      </c>
      <c r="D34" s="1" t="s">
        <v>523</v>
      </c>
      <c r="E34" s="1" t="s">
        <v>524</v>
      </c>
      <c r="F34" s="1" t="s">
        <v>525</v>
      </c>
      <c r="G34" s="1" t="s">
        <v>37</v>
      </c>
      <c r="H34" s="1" t="s">
        <v>526</v>
      </c>
      <c r="I34" s="1" t="s">
        <v>527</v>
      </c>
      <c r="J34" s="1" t="str">
        <f t="shared" si="1"/>
        <v>Non-Compliant</v>
      </c>
      <c r="K34" s="1" t="str">
        <f t="shared" si="2"/>
        <v>Non-Incentive</v>
      </c>
      <c r="L34" s="1" t="str">
        <f t="shared" si="3"/>
        <v>TUG</v>
      </c>
      <c r="M34" s="1">
        <f t="shared" si="4"/>
        <v>3</v>
      </c>
      <c r="N34" s="1">
        <f t="shared" si="5"/>
        <v>2017</v>
      </c>
    </row>
    <row r="35" ht="15.75" customHeight="1">
      <c r="A35" s="1" t="s">
        <v>14</v>
      </c>
      <c r="B35" s="1">
        <v>8615986.0</v>
      </c>
      <c r="C35" s="1" t="s">
        <v>687</v>
      </c>
      <c r="D35" s="1" t="s">
        <v>728</v>
      </c>
      <c r="E35" s="1" t="s">
        <v>729</v>
      </c>
      <c r="F35" s="1" t="s">
        <v>730</v>
      </c>
      <c r="G35" s="1" t="s">
        <v>19</v>
      </c>
      <c r="H35" s="1" t="s">
        <v>731</v>
      </c>
      <c r="I35" s="1" t="s">
        <v>732</v>
      </c>
      <c r="J35" s="1" t="str">
        <f t="shared" si="1"/>
        <v>Non-Compliant</v>
      </c>
      <c r="K35" s="1" t="str">
        <f t="shared" si="2"/>
        <v>Non-Incentive</v>
      </c>
      <c r="L35" s="1" t="str">
        <f t="shared" si="3"/>
        <v>TUG</v>
      </c>
      <c r="M35" s="1">
        <f t="shared" si="4"/>
        <v>3</v>
      </c>
      <c r="N35" s="1">
        <f t="shared" si="5"/>
        <v>2017</v>
      </c>
    </row>
    <row r="36" ht="15.75" customHeight="1">
      <c r="A36" s="1" t="s">
        <v>14</v>
      </c>
      <c r="B36" s="1">
        <v>8305029.0</v>
      </c>
      <c r="C36" s="1" t="s">
        <v>495</v>
      </c>
      <c r="D36" s="1" t="s">
        <v>500</v>
      </c>
      <c r="E36" s="1" t="s">
        <v>400</v>
      </c>
      <c r="F36" s="1" t="s">
        <v>501</v>
      </c>
      <c r="G36" s="1" t="s">
        <v>19</v>
      </c>
      <c r="H36" s="1" t="s">
        <v>502</v>
      </c>
      <c r="I36" s="1" t="s">
        <v>503</v>
      </c>
      <c r="J36" s="1" t="str">
        <f t="shared" si="1"/>
        <v>Non-Compliant</v>
      </c>
      <c r="K36" s="1" t="str">
        <f t="shared" si="2"/>
        <v>Non-Incentive</v>
      </c>
      <c r="L36" s="1" t="str">
        <f t="shared" si="3"/>
        <v>TUG</v>
      </c>
      <c r="M36" s="1">
        <f t="shared" si="4"/>
        <v>3</v>
      </c>
      <c r="N36" s="1">
        <f t="shared" si="5"/>
        <v>2017</v>
      </c>
    </row>
    <row r="37" ht="15.75" customHeight="1">
      <c r="A37" s="1" t="s">
        <v>14</v>
      </c>
      <c r="B37" s="1">
        <v>8486246.0</v>
      </c>
      <c r="C37" s="1" t="s">
        <v>621</v>
      </c>
      <c r="D37" s="1" t="s">
        <v>626</v>
      </c>
      <c r="E37" s="1" t="s">
        <v>551</v>
      </c>
      <c r="F37" s="1" t="s">
        <v>627</v>
      </c>
      <c r="G37" s="1" t="s">
        <v>19</v>
      </c>
      <c r="H37" s="1" t="s">
        <v>628</v>
      </c>
      <c r="I37" s="1" t="s">
        <v>503</v>
      </c>
      <c r="J37" s="1" t="str">
        <f t="shared" si="1"/>
        <v>Non-Compliant</v>
      </c>
      <c r="K37" s="1" t="str">
        <f t="shared" si="2"/>
        <v>Non-Incentive</v>
      </c>
      <c r="L37" s="1" t="str">
        <f t="shared" si="3"/>
        <v>TUG</v>
      </c>
      <c r="M37" s="1">
        <f t="shared" si="4"/>
        <v>3</v>
      </c>
      <c r="N37" s="1">
        <f t="shared" si="5"/>
        <v>2017</v>
      </c>
    </row>
    <row r="38" ht="15.75" customHeight="1">
      <c r="A38" s="1" t="s">
        <v>14</v>
      </c>
      <c r="B38" s="1">
        <v>8898683.0</v>
      </c>
      <c r="C38" s="1" t="s">
        <v>841</v>
      </c>
      <c r="D38" s="1" t="s">
        <v>842</v>
      </c>
      <c r="E38" s="1" t="s">
        <v>843</v>
      </c>
      <c r="F38" s="1" t="s">
        <v>844</v>
      </c>
      <c r="G38" s="1" t="s">
        <v>19</v>
      </c>
      <c r="H38" s="1" t="s">
        <v>845</v>
      </c>
      <c r="I38" s="1" t="s">
        <v>846</v>
      </c>
      <c r="J38" s="1" t="str">
        <f t="shared" si="1"/>
        <v>Non-Compliant</v>
      </c>
      <c r="K38" s="1" t="str">
        <f t="shared" si="2"/>
        <v>Non-Incentive</v>
      </c>
      <c r="L38" s="1" t="str">
        <f t="shared" si="3"/>
        <v>TUG</v>
      </c>
      <c r="M38" s="1">
        <f t="shared" si="4"/>
        <v>3</v>
      </c>
      <c r="N38" s="1">
        <f t="shared" si="5"/>
        <v>2017</v>
      </c>
    </row>
    <row r="39" ht="15.75" customHeight="1">
      <c r="A39" s="1" t="s">
        <v>14</v>
      </c>
      <c r="B39" s="1">
        <v>8967731.0</v>
      </c>
      <c r="C39" s="1" t="s">
        <v>880</v>
      </c>
      <c r="D39" s="1" t="s">
        <v>902</v>
      </c>
      <c r="E39" s="1" t="s">
        <v>888</v>
      </c>
      <c r="F39" s="1" t="s">
        <v>903</v>
      </c>
      <c r="G39" s="1" t="s">
        <v>19</v>
      </c>
      <c r="H39" s="1" t="s">
        <v>904</v>
      </c>
      <c r="I39" s="1" t="s">
        <v>905</v>
      </c>
      <c r="J39" s="1" t="str">
        <f t="shared" si="1"/>
        <v>Non-Compliant</v>
      </c>
      <c r="K39" s="1" t="str">
        <f t="shared" si="2"/>
        <v>Non-Incentive</v>
      </c>
      <c r="L39" s="1" t="str">
        <f t="shared" si="3"/>
        <v>TUG</v>
      </c>
      <c r="M39" s="1">
        <f t="shared" si="4"/>
        <v>3</v>
      </c>
      <c r="N39" s="1">
        <f t="shared" si="5"/>
        <v>2017</v>
      </c>
    </row>
    <row r="40" ht="15.75" customHeight="1">
      <c r="A40" s="1" t="s">
        <v>14</v>
      </c>
      <c r="B40" s="1">
        <v>8216744.0</v>
      </c>
      <c r="C40" s="1" t="s">
        <v>415</v>
      </c>
      <c r="D40" s="1" t="s">
        <v>428</v>
      </c>
      <c r="E40" s="1" t="s">
        <v>400</v>
      </c>
      <c r="F40" s="1" t="s">
        <v>429</v>
      </c>
      <c r="G40" s="1" t="s">
        <v>19</v>
      </c>
      <c r="H40" s="1" t="s">
        <v>430</v>
      </c>
      <c r="I40" s="1" t="s">
        <v>431</v>
      </c>
      <c r="J40" s="1" t="str">
        <f t="shared" si="1"/>
        <v>Non-Compliant</v>
      </c>
      <c r="K40" s="1" t="str">
        <f t="shared" si="2"/>
        <v>Non-Incentive</v>
      </c>
      <c r="L40" s="1" t="str">
        <f t="shared" si="3"/>
        <v>TUG</v>
      </c>
      <c r="M40" s="1">
        <f t="shared" si="4"/>
        <v>3</v>
      </c>
      <c r="N40" s="1">
        <f t="shared" si="5"/>
        <v>2017</v>
      </c>
    </row>
    <row r="41" ht="15.75" customHeight="1">
      <c r="A41" s="1" t="s">
        <v>14</v>
      </c>
      <c r="B41" s="1">
        <v>8471397.0</v>
      </c>
      <c r="C41" s="1" t="s">
        <v>596</v>
      </c>
      <c r="D41" s="1" t="s">
        <v>617</v>
      </c>
      <c r="E41" s="1" t="s">
        <v>618</v>
      </c>
      <c r="F41" s="1" t="s">
        <v>619</v>
      </c>
      <c r="G41" s="1" t="s">
        <v>37</v>
      </c>
      <c r="H41" s="1" t="s">
        <v>620</v>
      </c>
      <c r="I41" s="1" t="s">
        <v>431</v>
      </c>
      <c r="J41" s="1" t="str">
        <f t="shared" si="1"/>
        <v>Non-Compliant</v>
      </c>
      <c r="K41" s="1" t="str">
        <f t="shared" si="2"/>
        <v>Non-Incentive</v>
      </c>
      <c r="L41" s="1" t="str">
        <f t="shared" si="3"/>
        <v>TUG</v>
      </c>
      <c r="M41" s="1">
        <f t="shared" si="4"/>
        <v>3</v>
      </c>
      <c r="N41" s="1">
        <f t="shared" si="5"/>
        <v>2017</v>
      </c>
    </row>
    <row r="42" ht="15.75" customHeight="1">
      <c r="A42" s="1" t="s">
        <v>14</v>
      </c>
      <c r="B42" s="1">
        <v>8528718.0</v>
      </c>
      <c r="C42" s="1" t="s">
        <v>649</v>
      </c>
      <c r="D42" s="1" t="s">
        <v>650</v>
      </c>
      <c r="E42" s="1" t="s">
        <v>651</v>
      </c>
      <c r="F42" s="1" t="s">
        <v>652</v>
      </c>
      <c r="G42" s="1" t="s">
        <v>37</v>
      </c>
      <c r="H42" s="1" t="s">
        <v>653</v>
      </c>
      <c r="I42" s="1" t="s">
        <v>431</v>
      </c>
      <c r="J42" s="1" t="str">
        <f t="shared" si="1"/>
        <v>Non-Compliant</v>
      </c>
      <c r="K42" s="1" t="str">
        <f t="shared" si="2"/>
        <v>Non-Incentive</v>
      </c>
      <c r="L42" s="1" t="str">
        <f t="shared" si="3"/>
        <v>TUG</v>
      </c>
      <c r="M42" s="1">
        <f t="shared" si="4"/>
        <v>3</v>
      </c>
      <c r="N42" s="1">
        <f t="shared" si="5"/>
        <v>2017</v>
      </c>
    </row>
    <row r="43" ht="15.75" customHeight="1">
      <c r="A43" s="1" t="s">
        <v>14</v>
      </c>
      <c r="B43" s="1">
        <v>8469058.0</v>
      </c>
      <c r="C43" s="1" t="s">
        <v>596</v>
      </c>
      <c r="D43" s="1" t="s">
        <v>613</v>
      </c>
      <c r="E43" s="1" t="s">
        <v>540</v>
      </c>
      <c r="F43" s="1" t="s">
        <v>614</v>
      </c>
      <c r="G43" s="1" t="s">
        <v>19</v>
      </c>
      <c r="H43" s="1" t="s">
        <v>615</v>
      </c>
      <c r="I43" s="1" t="s">
        <v>616</v>
      </c>
      <c r="J43" s="1" t="str">
        <f t="shared" si="1"/>
        <v>Non-Compliant</v>
      </c>
      <c r="K43" s="1" t="str">
        <f t="shared" si="2"/>
        <v>Non-Incentive</v>
      </c>
      <c r="L43" s="1" t="str">
        <f t="shared" si="3"/>
        <v>TUG</v>
      </c>
      <c r="M43" s="1">
        <f t="shared" si="4"/>
        <v>3</v>
      </c>
      <c r="N43" s="1">
        <f t="shared" si="5"/>
        <v>2017</v>
      </c>
    </row>
    <row r="44" ht="15.75" customHeight="1">
      <c r="A44" s="1" t="s">
        <v>14</v>
      </c>
      <c r="B44" s="1">
        <v>8425293.0</v>
      </c>
      <c r="C44" s="1" t="s">
        <v>571</v>
      </c>
      <c r="D44" s="1" t="s">
        <v>580</v>
      </c>
      <c r="E44" s="1" t="s">
        <v>581</v>
      </c>
      <c r="F44" s="1" t="s">
        <v>582</v>
      </c>
      <c r="G44" s="1" t="s">
        <v>19</v>
      </c>
      <c r="H44" s="1" t="s">
        <v>583</v>
      </c>
      <c r="I44" s="1" t="s">
        <v>584</v>
      </c>
      <c r="J44" s="1" t="str">
        <f t="shared" si="1"/>
        <v>Non-Compliant</v>
      </c>
      <c r="K44" s="1" t="str">
        <f t="shared" si="2"/>
        <v>Non-Incentive</v>
      </c>
      <c r="L44" s="1" t="str">
        <f t="shared" si="3"/>
        <v>TUG</v>
      </c>
      <c r="M44" s="1">
        <f t="shared" si="4"/>
        <v>3</v>
      </c>
      <c r="N44" s="1">
        <f t="shared" si="5"/>
        <v>2017</v>
      </c>
    </row>
    <row r="45" ht="15.75" customHeight="1">
      <c r="A45" s="1" t="s">
        <v>14</v>
      </c>
      <c r="B45" s="1">
        <v>8576060.0</v>
      </c>
      <c r="C45" s="1" t="s">
        <v>663</v>
      </c>
      <c r="D45" s="1" t="s">
        <v>664</v>
      </c>
      <c r="E45" s="1" t="s">
        <v>665</v>
      </c>
      <c r="F45" s="1" t="s">
        <v>666</v>
      </c>
      <c r="G45" s="1" t="s">
        <v>19</v>
      </c>
      <c r="H45" s="1" t="s">
        <v>667</v>
      </c>
      <c r="I45" s="1" t="s">
        <v>668</v>
      </c>
      <c r="J45" s="1" t="str">
        <f t="shared" si="1"/>
        <v>Non-Compliant</v>
      </c>
      <c r="K45" s="1" t="str">
        <f t="shared" si="2"/>
        <v>Non-Incentive</v>
      </c>
      <c r="L45" s="1" t="str">
        <f t="shared" si="3"/>
        <v>TUG</v>
      </c>
      <c r="M45" s="1">
        <f t="shared" si="4"/>
        <v>3</v>
      </c>
      <c r="N45" s="1">
        <f t="shared" si="5"/>
        <v>2017</v>
      </c>
    </row>
    <row r="46" ht="15.75" customHeight="1">
      <c r="A46" s="1" t="s">
        <v>14</v>
      </c>
      <c r="B46" s="1">
        <v>8513208.0</v>
      </c>
      <c r="C46" s="1" t="s">
        <v>639</v>
      </c>
      <c r="D46" s="1" t="s">
        <v>644</v>
      </c>
      <c r="E46" s="1" t="s">
        <v>645</v>
      </c>
      <c r="F46" s="1" t="s">
        <v>646</v>
      </c>
      <c r="G46" s="1" t="s">
        <v>19</v>
      </c>
      <c r="H46" s="1" t="s">
        <v>647</v>
      </c>
      <c r="I46" s="1" t="s">
        <v>648</v>
      </c>
      <c r="J46" s="1" t="str">
        <f t="shared" si="1"/>
        <v>Non-Compliant</v>
      </c>
      <c r="K46" s="1" t="str">
        <f t="shared" si="2"/>
        <v>Non-Incentive</v>
      </c>
      <c r="L46" s="1" t="str">
        <f t="shared" si="3"/>
        <v>TUG</v>
      </c>
      <c r="M46" s="1">
        <f t="shared" si="4"/>
        <v>3</v>
      </c>
      <c r="N46" s="1">
        <f t="shared" si="5"/>
        <v>2017</v>
      </c>
    </row>
    <row r="47" ht="15.75" customHeight="1">
      <c r="A47" s="1" t="s">
        <v>14</v>
      </c>
      <c r="B47" s="1">
        <v>8709897.0</v>
      </c>
      <c r="C47" s="1" t="s">
        <v>753</v>
      </c>
      <c r="D47" s="1" t="s">
        <v>763</v>
      </c>
      <c r="E47" s="1" t="s">
        <v>764</v>
      </c>
      <c r="F47" s="1" t="s">
        <v>765</v>
      </c>
      <c r="G47" s="1" t="s">
        <v>19</v>
      </c>
      <c r="H47" s="1" t="s">
        <v>766</v>
      </c>
      <c r="I47" s="1" t="s">
        <v>767</v>
      </c>
      <c r="J47" s="1" t="str">
        <f t="shared" si="1"/>
        <v>Non-Compliant</v>
      </c>
      <c r="K47" s="1" t="str">
        <f t="shared" si="2"/>
        <v>Non-Incentive</v>
      </c>
      <c r="L47" s="1" t="str">
        <f t="shared" si="3"/>
        <v>TUG</v>
      </c>
      <c r="M47" s="1">
        <f t="shared" si="4"/>
        <v>3</v>
      </c>
      <c r="N47" s="1">
        <f t="shared" si="5"/>
        <v>2017</v>
      </c>
    </row>
    <row r="48" ht="15.75" customHeight="1">
      <c r="A48" s="1" t="s">
        <v>14</v>
      </c>
      <c r="B48" s="1">
        <v>8607213.0</v>
      </c>
      <c r="C48" s="1" t="s">
        <v>687</v>
      </c>
      <c r="D48" s="1" t="s">
        <v>699</v>
      </c>
      <c r="E48" s="1" t="s">
        <v>700</v>
      </c>
      <c r="F48" s="1" t="s">
        <v>701</v>
      </c>
      <c r="G48" s="1" t="s">
        <v>19</v>
      </c>
      <c r="H48" s="1" t="s">
        <v>702</v>
      </c>
      <c r="I48" s="1" t="s">
        <v>703</v>
      </c>
      <c r="J48" s="1" t="str">
        <f t="shared" si="1"/>
        <v>Non-Compliant</v>
      </c>
      <c r="K48" s="1" t="str">
        <f t="shared" si="2"/>
        <v>Non-Incentive</v>
      </c>
      <c r="L48" s="1" t="str">
        <f t="shared" si="3"/>
        <v>TUG</v>
      </c>
      <c r="M48" s="1">
        <f t="shared" si="4"/>
        <v>3</v>
      </c>
      <c r="N48" s="1">
        <f t="shared" si="5"/>
        <v>2017</v>
      </c>
    </row>
    <row r="49" ht="15.75" customHeight="1">
      <c r="A49" s="1" t="s">
        <v>14</v>
      </c>
      <c r="B49" s="1">
        <v>8826748.0</v>
      </c>
      <c r="C49" s="1" t="s">
        <v>815</v>
      </c>
      <c r="D49" s="1" t="s">
        <v>816</v>
      </c>
      <c r="E49" s="1" t="s">
        <v>817</v>
      </c>
      <c r="F49" s="1" t="s">
        <v>818</v>
      </c>
      <c r="G49" s="1" t="s">
        <v>19</v>
      </c>
      <c r="H49" s="1" t="s">
        <v>819</v>
      </c>
      <c r="I49" s="1" t="s">
        <v>820</v>
      </c>
      <c r="J49" s="1" t="str">
        <f t="shared" si="1"/>
        <v>Non-Compliant</v>
      </c>
      <c r="K49" s="1" t="str">
        <f t="shared" si="2"/>
        <v>Non-Incentive</v>
      </c>
      <c r="L49" s="1" t="str">
        <f t="shared" si="3"/>
        <v>TUG</v>
      </c>
      <c r="M49" s="1">
        <f t="shared" si="4"/>
        <v>3</v>
      </c>
      <c r="N49" s="1">
        <f t="shared" si="5"/>
        <v>2017</v>
      </c>
    </row>
    <row r="50" ht="15.75" customHeight="1">
      <c r="A50" s="1" t="s">
        <v>14</v>
      </c>
      <c r="B50" s="1">
        <v>9000406.0</v>
      </c>
      <c r="C50" s="1" t="s">
        <v>906</v>
      </c>
      <c r="D50" s="1" t="s">
        <v>912</v>
      </c>
      <c r="E50" s="1" t="s">
        <v>913</v>
      </c>
      <c r="F50" s="1" t="s">
        <v>914</v>
      </c>
      <c r="G50" s="1" t="s">
        <v>19</v>
      </c>
      <c r="H50" s="1" t="s">
        <v>915</v>
      </c>
      <c r="I50" s="1" t="s">
        <v>916</v>
      </c>
      <c r="J50" s="1" t="str">
        <f t="shared" si="1"/>
        <v>Non-Compliant</v>
      </c>
      <c r="K50" s="1" t="str">
        <f t="shared" si="2"/>
        <v>Non-Incentive</v>
      </c>
      <c r="L50" s="1" t="str">
        <f t="shared" si="3"/>
        <v>TUG</v>
      </c>
      <c r="M50" s="1">
        <f t="shared" si="4"/>
        <v>3</v>
      </c>
      <c r="N50" s="1">
        <f t="shared" si="5"/>
        <v>2017</v>
      </c>
    </row>
    <row r="51" ht="15.75" customHeight="1">
      <c r="A51" s="1" t="s">
        <v>14</v>
      </c>
      <c r="B51" s="1">
        <v>9003019.0</v>
      </c>
      <c r="C51" s="1" t="s">
        <v>906</v>
      </c>
      <c r="D51" s="1" t="s">
        <v>917</v>
      </c>
      <c r="E51" s="1" t="s">
        <v>817</v>
      </c>
      <c r="F51" s="1" t="s">
        <v>914</v>
      </c>
      <c r="G51" s="1" t="s">
        <v>19</v>
      </c>
      <c r="H51" s="1" t="s">
        <v>918</v>
      </c>
      <c r="I51" s="1" t="s">
        <v>916</v>
      </c>
      <c r="J51" s="1" t="str">
        <f t="shared" si="1"/>
        <v>Non-Compliant</v>
      </c>
      <c r="K51" s="1" t="str">
        <f t="shared" si="2"/>
        <v>Non-Incentive</v>
      </c>
      <c r="L51" s="1" t="str">
        <f t="shared" si="3"/>
        <v>TUG</v>
      </c>
      <c r="M51" s="1">
        <f t="shared" si="4"/>
        <v>3</v>
      </c>
      <c r="N51" s="1">
        <f t="shared" si="5"/>
        <v>2017</v>
      </c>
    </row>
    <row r="52" ht="15.75" customHeight="1">
      <c r="A52" s="1" t="s">
        <v>14</v>
      </c>
      <c r="B52" s="1">
        <v>8749638.0</v>
      </c>
      <c r="C52" s="1" t="s">
        <v>768</v>
      </c>
      <c r="D52" s="1" t="s">
        <v>769</v>
      </c>
      <c r="E52" s="1" t="s">
        <v>770</v>
      </c>
      <c r="F52" s="1" t="s">
        <v>771</v>
      </c>
      <c r="G52" s="1" t="s">
        <v>19</v>
      </c>
      <c r="H52" s="1" t="s">
        <v>772</v>
      </c>
      <c r="I52" s="1" t="s">
        <v>773</v>
      </c>
      <c r="J52" s="1" t="str">
        <f t="shared" si="1"/>
        <v>Non-Compliant</v>
      </c>
      <c r="K52" s="1" t="str">
        <f t="shared" si="2"/>
        <v>Non-Incentive</v>
      </c>
      <c r="L52" s="1" t="str">
        <f t="shared" si="3"/>
        <v>TUG</v>
      </c>
      <c r="M52" s="1">
        <f t="shared" si="4"/>
        <v>3</v>
      </c>
      <c r="N52" s="1">
        <f t="shared" si="5"/>
        <v>2017</v>
      </c>
    </row>
    <row r="53" ht="15.75" customHeight="1">
      <c r="A53" s="1" t="s">
        <v>14</v>
      </c>
      <c r="B53" s="1">
        <v>8752787.0</v>
      </c>
      <c r="C53" s="1" t="s">
        <v>768</v>
      </c>
      <c r="D53" s="1" t="s">
        <v>785</v>
      </c>
      <c r="E53" s="1" t="s">
        <v>786</v>
      </c>
      <c r="F53" s="1" t="s">
        <v>787</v>
      </c>
      <c r="G53" s="1" t="s">
        <v>19</v>
      </c>
      <c r="H53" s="1" t="s">
        <v>788</v>
      </c>
      <c r="I53" s="1" t="s">
        <v>789</v>
      </c>
      <c r="J53" s="1" t="str">
        <f t="shared" si="1"/>
        <v>Non-Compliant</v>
      </c>
      <c r="K53" s="1" t="str">
        <f t="shared" si="2"/>
        <v>Non-Incentive</v>
      </c>
      <c r="L53" s="1" t="str">
        <f t="shared" si="3"/>
        <v>TUG</v>
      </c>
      <c r="M53" s="1">
        <f t="shared" si="4"/>
        <v>3</v>
      </c>
      <c r="N53" s="1">
        <f t="shared" si="5"/>
        <v>2017</v>
      </c>
    </row>
    <row r="54" ht="15.75" customHeight="1">
      <c r="A54" s="1" t="s">
        <v>14</v>
      </c>
      <c r="B54" s="1">
        <v>9029616.0</v>
      </c>
      <c r="C54" s="1" t="s">
        <v>923</v>
      </c>
      <c r="D54" s="1" t="s">
        <v>924</v>
      </c>
      <c r="E54" s="1" t="s">
        <v>925</v>
      </c>
      <c r="F54" s="1" t="s">
        <v>926</v>
      </c>
      <c r="G54" s="1" t="s">
        <v>19</v>
      </c>
      <c r="H54" s="1" t="s">
        <v>927</v>
      </c>
      <c r="I54" s="1" t="s">
        <v>928</v>
      </c>
      <c r="J54" s="1" t="str">
        <f t="shared" si="1"/>
        <v>Non-Compliant</v>
      </c>
      <c r="K54" s="1" t="str">
        <f t="shared" si="2"/>
        <v>Non-Incentive</v>
      </c>
      <c r="L54" s="1" t="str">
        <f t="shared" si="3"/>
        <v>TUG</v>
      </c>
      <c r="M54" s="1">
        <f t="shared" si="4"/>
        <v>3</v>
      </c>
      <c r="N54" s="1">
        <f t="shared" si="5"/>
        <v>2017</v>
      </c>
    </row>
    <row r="55" ht="15.75" customHeight="1">
      <c r="A55" s="1" t="s">
        <v>14</v>
      </c>
      <c r="B55" s="1">
        <v>8942181.0</v>
      </c>
      <c r="C55" s="1" t="s">
        <v>867</v>
      </c>
      <c r="D55" s="1" t="s">
        <v>873</v>
      </c>
      <c r="E55" s="1" t="s">
        <v>755</v>
      </c>
      <c r="F55" s="1" t="s">
        <v>874</v>
      </c>
      <c r="G55" s="1" t="s">
        <v>37</v>
      </c>
      <c r="H55" s="1" t="s">
        <v>875</v>
      </c>
      <c r="I55" s="1" t="s">
        <v>876</v>
      </c>
      <c r="J55" s="1" t="str">
        <f t="shared" si="1"/>
        <v>Non-Compliant</v>
      </c>
      <c r="K55" s="1" t="str">
        <f t="shared" si="2"/>
        <v>Non-Incentive</v>
      </c>
      <c r="L55" s="1" t="str">
        <f t="shared" si="3"/>
        <v>TUG</v>
      </c>
      <c r="M55" s="1">
        <f t="shared" si="4"/>
        <v>3</v>
      </c>
      <c r="N55" s="1">
        <f t="shared" si="5"/>
        <v>2017</v>
      </c>
    </row>
    <row r="56" ht="15.75" customHeight="1">
      <c r="A56" s="1" t="s">
        <v>14</v>
      </c>
      <c r="B56" s="1">
        <v>8942185.0</v>
      </c>
      <c r="C56" s="1" t="s">
        <v>867</v>
      </c>
      <c r="D56" s="1" t="s">
        <v>877</v>
      </c>
      <c r="E56" s="1" t="s">
        <v>755</v>
      </c>
      <c r="F56" s="1" t="s">
        <v>878</v>
      </c>
      <c r="G56" s="1" t="s">
        <v>37</v>
      </c>
      <c r="H56" s="1" t="s">
        <v>879</v>
      </c>
      <c r="I56" s="1" t="s">
        <v>876</v>
      </c>
      <c r="J56" s="1" t="str">
        <f t="shared" si="1"/>
        <v>Non-Compliant</v>
      </c>
      <c r="K56" s="1" t="str">
        <f t="shared" si="2"/>
        <v>Non-Incentive</v>
      </c>
      <c r="L56" s="1" t="str">
        <f t="shared" si="3"/>
        <v>TUG</v>
      </c>
      <c r="M56" s="1">
        <f t="shared" si="4"/>
        <v>3</v>
      </c>
      <c r="N56" s="1">
        <f t="shared" si="5"/>
        <v>2017</v>
      </c>
    </row>
    <row r="57" ht="15.75" customHeight="1">
      <c r="A57" s="1" t="s">
        <v>14</v>
      </c>
      <c r="B57" s="1">
        <v>9096262.0</v>
      </c>
      <c r="C57" s="1" t="s">
        <v>945</v>
      </c>
      <c r="D57" s="1" t="s">
        <v>959</v>
      </c>
      <c r="E57" s="1" t="s">
        <v>893</v>
      </c>
      <c r="F57" s="1" t="s">
        <v>960</v>
      </c>
      <c r="G57" s="1" t="s">
        <v>19</v>
      </c>
      <c r="H57" s="1" t="s">
        <v>961</v>
      </c>
      <c r="I57" s="1" t="s">
        <v>962</v>
      </c>
      <c r="J57" s="1" t="str">
        <f t="shared" si="1"/>
        <v>Non-Compliant</v>
      </c>
      <c r="K57" s="1" t="str">
        <f t="shared" si="2"/>
        <v>Non-Incentive</v>
      </c>
      <c r="L57" s="1" t="str">
        <f t="shared" si="3"/>
        <v>TUG</v>
      </c>
      <c r="M57" s="1">
        <f t="shared" si="4"/>
        <v>3</v>
      </c>
      <c r="N57" s="1">
        <f t="shared" si="5"/>
        <v>2017</v>
      </c>
    </row>
    <row r="58" ht="15.75" customHeight="1">
      <c r="A58" s="1" t="s">
        <v>14</v>
      </c>
      <c r="B58" s="1">
        <v>9323426.0</v>
      </c>
      <c r="C58" s="1" t="s">
        <v>1024</v>
      </c>
      <c r="D58" s="1" t="s">
        <v>1029</v>
      </c>
      <c r="E58" s="1" t="s">
        <v>1030</v>
      </c>
      <c r="F58" s="1" t="s">
        <v>1031</v>
      </c>
      <c r="G58" s="1" t="s">
        <v>19</v>
      </c>
      <c r="H58" s="1" t="s">
        <v>1032</v>
      </c>
      <c r="I58" s="1" t="s">
        <v>1033</v>
      </c>
      <c r="J58" s="1" t="str">
        <f t="shared" si="1"/>
        <v>Non-Compliant</v>
      </c>
      <c r="K58" s="1" t="str">
        <f t="shared" si="2"/>
        <v>Non-Incentive</v>
      </c>
      <c r="L58" s="1" t="str">
        <f t="shared" si="3"/>
        <v>TUG</v>
      </c>
      <c r="M58" s="1">
        <f t="shared" si="4"/>
        <v>3</v>
      </c>
      <c r="N58" s="1">
        <f t="shared" si="5"/>
        <v>2017</v>
      </c>
    </row>
    <row r="59" ht="15.75" customHeight="1">
      <c r="A59" s="1" t="s">
        <v>14</v>
      </c>
      <c r="B59" s="1">
        <v>8395644.0</v>
      </c>
      <c r="C59" s="1" t="s">
        <v>554</v>
      </c>
      <c r="D59" s="1" t="s">
        <v>559</v>
      </c>
      <c r="E59" s="1" t="s">
        <v>534</v>
      </c>
      <c r="F59" s="1" t="s">
        <v>560</v>
      </c>
      <c r="G59" s="1" t="s">
        <v>19</v>
      </c>
      <c r="H59" s="1" t="s">
        <v>561</v>
      </c>
      <c r="I59" s="1" t="s">
        <v>562</v>
      </c>
      <c r="J59" s="1" t="str">
        <f t="shared" si="1"/>
        <v>Non-Compliant</v>
      </c>
      <c r="K59" s="1" t="str">
        <f t="shared" si="2"/>
        <v>Non-Incentive</v>
      </c>
      <c r="L59" s="1" t="str">
        <f t="shared" si="3"/>
        <v>TUG</v>
      </c>
      <c r="M59" s="1">
        <f t="shared" si="4"/>
        <v>3</v>
      </c>
      <c r="N59" s="1">
        <f t="shared" si="5"/>
        <v>2017</v>
      </c>
    </row>
    <row r="60" ht="15.75" customHeight="1">
      <c r="A60" s="1" t="s">
        <v>14</v>
      </c>
      <c r="B60" s="1">
        <v>7877440.0</v>
      </c>
      <c r="C60" s="1" t="s">
        <v>214</v>
      </c>
      <c r="D60" s="1" t="s">
        <v>215</v>
      </c>
      <c r="E60" s="1" t="s">
        <v>142</v>
      </c>
      <c r="F60" s="1" t="s">
        <v>216</v>
      </c>
      <c r="G60" s="1" t="s">
        <v>19</v>
      </c>
      <c r="H60" s="1" t="s">
        <v>217</v>
      </c>
      <c r="I60" s="1" t="s">
        <v>218</v>
      </c>
      <c r="J60" s="1" t="str">
        <f t="shared" si="1"/>
        <v>Non-Compliant</v>
      </c>
      <c r="K60" s="1" t="str">
        <f t="shared" si="2"/>
        <v>Non-Incentive</v>
      </c>
      <c r="L60" s="1" t="str">
        <f t="shared" si="3"/>
        <v>TUG</v>
      </c>
      <c r="M60" s="1">
        <f t="shared" si="4"/>
        <v>3</v>
      </c>
      <c r="N60" s="1">
        <f t="shared" si="5"/>
        <v>2017</v>
      </c>
    </row>
    <row r="61" ht="15.75" customHeight="1">
      <c r="A61" s="1" t="s">
        <v>14</v>
      </c>
      <c r="B61" s="1">
        <v>7918086.0</v>
      </c>
      <c r="C61" s="1" t="s">
        <v>227</v>
      </c>
      <c r="D61" s="1" t="s">
        <v>243</v>
      </c>
      <c r="E61" s="1" t="s">
        <v>142</v>
      </c>
      <c r="F61" s="1" t="s">
        <v>216</v>
      </c>
      <c r="G61" s="1" t="s">
        <v>19</v>
      </c>
      <c r="H61" s="1" t="s">
        <v>244</v>
      </c>
      <c r="I61" s="1" t="s">
        <v>218</v>
      </c>
      <c r="J61" s="1" t="str">
        <f t="shared" si="1"/>
        <v>Non-Compliant</v>
      </c>
      <c r="K61" s="1" t="str">
        <f t="shared" si="2"/>
        <v>Non-Incentive</v>
      </c>
      <c r="L61" s="1" t="str">
        <f t="shared" si="3"/>
        <v>TUG</v>
      </c>
      <c r="M61" s="1">
        <f t="shared" si="4"/>
        <v>3</v>
      </c>
      <c r="N61" s="1">
        <f t="shared" si="5"/>
        <v>2017</v>
      </c>
    </row>
    <row r="62" ht="15.75" customHeight="1">
      <c r="A62" s="1" t="s">
        <v>14</v>
      </c>
      <c r="B62" s="1">
        <v>7968231.0</v>
      </c>
      <c r="C62" s="1" t="s">
        <v>261</v>
      </c>
      <c r="D62" s="1" t="s">
        <v>273</v>
      </c>
      <c r="E62" s="1" t="s">
        <v>274</v>
      </c>
      <c r="F62" s="1" t="s">
        <v>275</v>
      </c>
      <c r="G62" s="1" t="s">
        <v>37</v>
      </c>
      <c r="H62" s="1" t="s">
        <v>276</v>
      </c>
      <c r="I62" s="1" t="s">
        <v>218</v>
      </c>
      <c r="J62" s="1" t="str">
        <f t="shared" si="1"/>
        <v>Non-Compliant</v>
      </c>
      <c r="K62" s="1" t="str">
        <f t="shared" si="2"/>
        <v>Non-Incentive</v>
      </c>
      <c r="L62" s="1" t="str">
        <f t="shared" si="3"/>
        <v>TUG</v>
      </c>
      <c r="M62" s="1">
        <f t="shared" si="4"/>
        <v>3</v>
      </c>
      <c r="N62" s="1">
        <f t="shared" si="5"/>
        <v>2017</v>
      </c>
    </row>
    <row r="63" ht="15.75" customHeight="1">
      <c r="A63" s="1" t="s">
        <v>14</v>
      </c>
      <c r="B63" s="1">
        <v>8065467.0</v>
      </c>
      <c r="C63" s="1" t="s">
        <v>316</v>
      </c>
      <c r="D63" s="1" t="s">
        <v>327</v>
      </c>
      <c r="E63" s="1" t="s">
        <v>267</v>
      </c>
      <c r="F63" s="1" t="s">
        <v>328</v>
      </c>
      <c r="G63" s="1" t="s">
        <v>111</v>
      </c>
      <c r="H63" s="1" t="s">
        <v>329</v>
      </c>
      <c r="I63" s="1" t="s">
        <v>218</v>
      </c>
      <c r="J63" s="1" t="str">
        <f t="shared" si="1"/>
        <v>Non-Compliant</v>
      </c>
      <c r="K63" s="1" t="str">
        <f t="shared" si="2"/>
        <v>Non-Incentive</v>
      </c>
      <c r="L63" s="1" t="str">
        <f t="shared" si="3"/>
        <v>TUG</v>
      </c>
      <c r="M63" s="1">
        <f t="shared" si="4"/>
        <v>3</v>
      </c>
      <c r="N63" s="1">
        <f t="shared" si="5"/>
        <v>2017</v>
      </c>
    </row>
    <row r="64" ht="15.75" customHeight="1">
      <c r="A64" s="1" t="s">
        <v>14</v>
      </c>
      <c r="B64" s="1">
        <v>8102896.0</v>
      </c>
      <c r="C64" s="1" t="s">
        <v>352</v>
      </c>
      <c r="D64" s="1" t="s">
        <v>353</v>
      </c>
      <c r="E64" s="1" t="s">
        <v>267</v>
      </c>
      <c r="F64" s="1" t="s">
        <v>354</v>
      </c>
      <c r="G64" s="1" t="s">
        <v>19</v>
      </c>
      <c r="H64" s="1" t="s">
        <v>355</v>
      </c>
      <c r="I64" s="1" t="s">
        <v>218</v>
      </c>
      <c r="J64" s="1" t="str">
        <f t="shared" si="1"/>
        <v>Non-Compliant</v>
      </c>
      <c r="K64" s="1" t="str">
        <f t="shared" si="2"/>
        <v>Non-Incentive</v>
      </c>
      <c r="L64" s="1" t="str">
        <f t="shared" si="3"/>
        <v>TUG</v>
      </c>
      <c r="M64" s="1">
        <f t="shared" si="4"/>
        <v>3</v>
      </c>
      <c r="N64" s="1">
        <f t="shared" si="5"/>
        <v>2017</v>
      </c>
    </row>
    <row r="65" ht="15.75" customHeight="1">
      <c r="A65" s="1" t="s">
        <v>14</v>
      </c>
      <c r="B65" s="1">
        <v>9353344.0</v>
      </c>
      <c r="C65" s="1" t="s">
        <v>1038</v>
      </c>
      <c r="D65" s="1" t="s">
        <v>1048</v>
      </c>
      <c r="E65" s="1" t="s">
        <v>1035</v>
      </c>
      <c r="F65" s="1" t="s">
        <v>1049</v>
      </c>
      <c r="G65" s="1" t="s">
        <v>37</v>
      </c>
      <c r="H65" s="1" t="s">
        <v>1050</v>
      </c>
      <c r="I65" s="1" t="s">
        <v>1051</v>
      </c>
      <c r="J65" s="1" t="str">
        <f t="shared" si="1"/>
        <v>Non-Compliant</v>
      </c>
      <c r="K65" s="1" t="str">
        <f t="shared" si="2"/>
        <v>Non-Incentive</v>
      </c>
      <c r="L65" s="1" t="str">
        <f t="shared" si="3"/>
        <v>TUG</v>
      </c>
      <c r="M65" s="1">
        <f t="shared" si="4"/>
        <v>3</v>
      </c>
      <c r="N65" s="1">
        <f t="shared" si="5"/>
        <v>2017</v>
      </c>
    </row>
    <row r="66" ht="15.75" customHeight="1">
      <c r="A66" s="1" t="s">
        <v>14</v>
      </c>
      <c r="B66" s="1">
        <v>8913772.0</v>
      </c>
      <c r="C66" s="1" t="s">
        <v>841</v>
      </c>
      <c r="D66" s="1" t="s">
        <v>862</v>
      </c>
      <c r="E66" s="1" t="s">
        <v>863</v>
      </c>
      <c r="F66" s="1" t="s">
        <v>864</v>
      </c>
      <c r="G66" s="1" t="s">
        <v>37</v>
      </c>
      <c r="H66" s="1" t="s">
        <v>865</v>
      </c>
      <c r="I66" s="1" t="s">
        <v>866</v>
      </c>
      <c r="J66" s="1" t="str">
        <f t="shared" si="1"/>
        <v>Non-Compliant</v>
      </c>
      <c r="K66" s="1" t="str">
        <f t="shared" si="2"/>
        <v>Non-Incentive</v>
      </c>
      <c r="L66" s="1" t="str">
        <f t="shared" si="3"/>
        <v>TUG</v>
      </c>
      <c r="M66" s="1">
        <f t="shared" si="4"/>
        <v>3</v>
      </c>
      <c r="N66" s="1">
        <f t="shared" si="5"/>
        <v>2017</v>
      </c>
    </row>
    <row r="67" ht="15.75" customHeight="1">
      <c r="A67" s="1" t="s">
        <v>14</v>
      </c>
      <c r="B67" s="1">
        <v>9344909.0</v>
      </c>
      <c r="C67" s="1" t="s">
        <v>1038</v>
      </c>
      <c r="D67" s="1" t="s">
        <v>1039</v>
      </c>
      <c r="E67" s="1" t="s">
        <v>1026</v>
      </c>
      <c r="F67" s="1" t="s">
        <v>1040</v>
      </c>
      <c r="G67" s="1" t="s">
        <v>37</v>
      </c>
      <c r="H67" s="1" t="s">
        <v>1041</v>
      </c>
      <c r="I67" s="1" t="s">
        <v>1042</v>
      </c>
      <c r="J67" s="1" t="str">
        <f t="shared" si="1"/>
        <v>Non-Compliant</v>
      </c>
      <c r="K67" s="1" t="str">
        <f t="shared" si="2"/>
        <v>Non-Incentive</v>
      </c>
      <c r="L67" s="1" t="str">
        <f t="shared" si="3"/>
        <v>TUG</v>
      </c>
      <c r="M67" s="1">
        <f t="shared" si="4"/>
        <v>3</v>
      </c>
      <c r="N67" s="1">
        <f t="shared" si="5"/>
        <v>2017</v>
      </c>
    </row>
    <row r="68" ht="15.75" customHeight="1">
      <c r="A68" s="1" t="s">
        <v>14</v>
      </c>
      <c r="B68" s="1">
        <v>9731029.0</v>
      </c>
      <c r="C68" s="1" t="s">
        <v>1162</v>
      </c>
      <c r="D68" s="1" t="s">
        <v>1170</v>
      </c>
      <c r="E68" s="1" t="s">
        <v>1105</v>
      </c>
      <c r="F68" s="1" t="s">
        <v>1171</v>
      </c>
      <c r="G68" s="1" t="s">
        <v>19</v>
      </c>
      <c r="H68" s="1" t="s">
        <v>1172</v>
      </c>
      <c r="I68" s="1" t="s">
        <v>1173</v>
      </c>
      <c r="J68" s="1" t="str">
        <f t="shared" si="1"/>
        <v>Non-Compliant</v>
      </c>
      <c r="K68" s="1" t="str">
        <f t="shared" si="2"/>
        <v>Non-Incentive</v>
      </c>
      <c r="L68" s="1" t="str">
        <f t="shared" si="3"/>
        <v>TUG</v>
      </c>
      <c r="M68" s="1">
        <f t="shared" si="4"/>
        <v>3</v>
      </c>
      <c r="N68" s="1">
        <f t="shared" si="5"/>
        <v>2017</v>
      </c>
    </row>
    <row r="69" ht="15.75" customHeight="1">
      <c r="A69" s="1" t="s">
        <v>14</v>
      </c>
      <c r="B69" s="1">
        <v>9474719.0</v>
      </c>
      <c r="C69" s="1" t="s">
        <v>1061</v>
      </c>
      <c r="D69" s="1" t="s">
        <v>1062</v>
      </c>
      <c r="E69" s="1" t="s">
        <v>1063</v>
      </c>
      <c r="F69" s="1" t="s">
        <v>1064</v>
      </c>
      <c r="G69" s="1" t="s">
        <v>19</v>
      </c>
      <c r="H69" s="1" t="s">
        <v>1065</v>
      </c>
      <c r="I69" s="1" t="s">
        <v>1066</v>
      </c>
      <c r="J69" s="1" t="str">
        <f t="shared" si="1"/>
        <v>Non-Compliant</v>
      </c>
      <c r="K69" s="1" t="str">
        <f t="shared" si="2"/>
        <v>Non-Incentive</v>
      </c>
      <c r="L69" s="1" t="str">
        <f t="shared" si="3"/>
        <v>TUG</v>
      </c>
      <c r="M69" s="1">
        <f t="shared" si="4"/>
        <v>3</v>
      </c>
      <c r="N69" s="1">
        <f t="shared" si="5"/>
        <v>2017</v>
      </c>
    </row>
    <row r="70" ht="15.75" customHeight="1">
      <c r="A70" s="1" t="s">
        <v>14</v>
      </c>
      <c r="B70" s="1">
        <v>7096937.0</v>
      </c>
      <c r="C70" s="1" t="s">
        <v>15</v>
      </c>
      <c r="D70" s="1" t="s">
        <v>16</v>
      </c>
      <c r="E70" s="1" t="s">
        <v>17</v>
      </c>
      <c r="F70" s="1" t="s">
        <v>18</v>
      </c>
      <c r="G70" s="1" t="s">
        <v>19</v>
      </c>
      <c r="H70" s="1" t="s">
        <v>20</v>
      </c>
      <c r="I70" s="1" t="s">
        <v>21</v>
      </c>
      <c r="J70" s="1" t="str">
        <f t="shared" si="1"/>
        <v>Non-Compliant</v>
      </c>
      <c r="K70" s="1" t="str">
        <f t="shared" si="2"/>
        <v>Non-Incentive</v>
      </c>
      <c r="L70" s="1" t="str">
        <f t="shared" si="3"/>
        <v>TUG</v>
      </c>
      <c r="M70" s="1">
        <f t="shared" si="4"/>
        <v>3</v>
      </c>
      <c r="N70" s="1">
        <f t="shared" si="5"/>
        <v>2017</v>
      </c>
    </row>
    <row r="71" ht="15.75" customHeight="1">
      <c r="A71" s="1" t="s">
        <v>14</v>
      </c>
      <c r="B71" s="1">
        <v>1235474.0</v>
      </c>
      <c r="C71" s="1" t="s">
        <v>1342</v>
      </c>
      <c r="D71" s="1" t="s">
        <v>1343</v>
      </c>
      <c r="E71" s="1" t="s">
        <v>1344</v>
      </c>
      <c r="F71" s="1" t="s">
        <v>1345</v>
      </c>
      <c r="G71" s="1" t="s">
        <v>19</v>
      </c>
      <c r="H71" s="1" t="s">
        <v>1346</v>
      </c>
      <c r="I71" s="1" t="s">
        <v>1347</v>
      </c>
      <c r="J71" s="1" t="str">
        <f t="shared" si="1"/>
        <v>Non-Compliant</v>
      </c>
      <c r="K71" s="1" t="str">
        <f t="shared" si="2"/>
        <v>Non-Incentive</v>
      </c>
      <c r="L71" s="1" t="str">
        <f t="shared" si="3"/>
        <v>TUG</v>
      </c>
      <c r="M71" s="1">
        <f t="shared" si="4"/>
        <v>3</v>
      </c>
      <c r="N71" s="1">
        <f t="shared" si="5"/>
        <v>2017</v>
      </c>
    </row>
    <row r="72" ht="15.75" customHeight="1">
      <c r="A72" s="1" t="s">
        <v>14</v>
      </c>
      <c r="B72" s="1">
        <v>1249499.0</v>
      </c>
      <c r="C72" s="1" t="s">
        <v>1342</v>
      </c>
      <c r="D72" s="1" t="s">
        <v>1353</v>
      </c>
      <c r="E72" s="1" t="s">
        <v>1349</v>
      </c>
      <c r="F72" s="1" t="s">
        <v>1354</v>
      </c>
      <c r="G72" s="1" t="s">
        <v>1355</v>
      </c>
      <c r="H72" s="1" t="s">
        <v>1356</v>
      </c>
      <c r="I72" s="1" t="s">
        <v>1347</v>
      </c>
      <c r="J72" s="1" t="str">
        <f t="shared" si="1"/>
        <v>Non-Compliant</v>
      </c>
      <c r="K72" s="1" t="str">
        <f t="shared" si="2"/>
        <v>Non-Incentive</v>
      </c>
      <c r="L72" s="1" t="str">
        <f t="shared" si="3"/>
        <v>TUG</v>
      </c>
      <c r="M72" s="1">
        <f t="shared" si="4"/>
        <v>3</v>
      </c>
      <c r="N72" s="1">
        <f t="shared" si="5"/>
        <v>2017</v>
      </c>
    </row>
    <row r="73" ht="15.75" customHeight="1">
      <c r="A73" s="1" t="s">
        <v>14</v>
      </c>
      <c r="B73" s="1">
        <v>1249514.0</v>
      </c>
      <c r="C73" s="1" t="s">
        <v>1342</v>
      </c>
      <c r="D73" s="1" t="s">
        <v>1357</v>
      </c>
      <c r="E73" s="1" t="s">
        <v>1349</v>
      </c>
      <c r="F73" s="1" t="s">
        <v>1354</v>
      </c>
      <c r="G73" s="1" t="s">
        <v>1358</v>
      </c>
      <c r="H73" s="1" t="s">
        <v>1359</v>
      </c>
      <c r="I73" s="1" t="s">
        <v>1347</v>
      </c>
      <c r="J73" s="1" t="str">
        <f t="shared" si="1"/>
        <v>Non-Compliant</v>
      </c>
      <c r="K73" s="1" t="str">
        <f t="shared" si="2"/>
        <v>Non-Incentive</v>
      </c>
      <c r="L73" s="1" t="str">
        <f t="shared" si="3"/>
        <v>TUG</v>
      </c>
      <c r="M73" s="1">
        <f t="shared" si="4"/>
        <v>3</v>
      </c>
      <c r="N73" s="1">
        <f t="shared" si="5"/>
        <v>2017</v>
      </c>
    </row>
    <row r="74" ht="15.75" customHeight="1">
      <c r="A74" s="1" t="s">
        <v>14</v>
      </c>
      <c r="B74" s="1">
        <v>9721864.0</v>
      </c>
      <c r="C74" s="1" t="s">
        <v>1162</v>
      </c>
      <c r="D74" s="1" t="s">
        <v>1163</v>
      </c>
      <c r="E74" s="1" t="s">
        <v>1129</v>
      </c>
      <c r="F74" s="1" t="s">
        <v>1164</v>
      </c>
      <c r="G74" s="1" t="s">
        <v>19</v>
      </c>
      <c r="H74" s="1" t="s">
        <v>1165</v>
      </c>
      <c r="I74" s="1" t="s">
        <v>1166</v>
      </c>
      <c r="J74" s="1" t="str">
        <f t="shared" si="1"/>
        <v>Non-Compliant</v>
      </c>
      <c r="K74" s="1" t="str">
        <f t="shared" si="2"/>
        <v>Non-Incentive</v>
      </c>
      <c r="L74" s="1" t="str">
        <f t="shared" si="3"/>
        <v>TUG</v>
      </c>
      <c r="M74" s="1">
        <f t="shared" si="4"/>
        <v>3</v>
      </c>
      <c r="N74" s="1">
        <f t="shared" si="5"/>
        <v>2017</v>
      </c>
    </row>
    <row r="75" ht="15.75" customHeight="1">
      <c r="A75" s="1" t="s">
        <v>14</v>
      </c>
      <c r="B75" s="1">
        <v>1252402.0</v>
      </c>
      <c r="C75" s="1" t="s">
        <v>1342</v>
      </c>
      <c r="D75" s="1" t="s">
        <v>1360</v>
      </c>
      <c r="E75" s="1" t="s">
        <v>1361</v>
      </c>
      <c r="F75" s="1" t="s">
        <v>1362</v>
      </c>
      <c r="G75" s="1" t="s">
        <v>19</v>
      </c>
      <c r="H75" s="1" t="s">
        <v>1363</v>
      </c>
      <c r="I75" s="1" t="s">
        <v>1364</v>
      </c>
      <c r="J75" s="1" t="str">
        <f t="shared" si="1"/>
        <v>Non-Compliant</v>
      </c>
      <c r="K75" s="1" t="str">
        <f t="shared" si="2"/>
        <v>Non-Incentive</v>
      </c>
      <c r="L75" s="1" t="str">
        <f t="shared" si="3"/>
        <v>TUG</v>
      </c>
      <c r="M75" s="1">
        <f t="shared" si="4"/>
        <v>3</v>
      </c>
      <c r="N75" s="1">
        <f t="shared" si="5"/>
        <v>2017</v>
      </c>
    </row>
    <row r="76" ht="15.75" customHeight="1">
      <c r="A76" s="1" t="s">
        <v>14</v>
      </c>
      <c r="B76" s="1">
        <v>9791045.0</v>
      </c>
      <c r="C76" s="1" t="s">
        <v>1194</v>
      </c>
      <c r="D76" s="1" t="s">
        <v>1199</v>
      </c>
      <c r="E76" s="1" t="s">
        <v>1114</v>
      </c>
      <c r="F76" s="1" t="s">
        <v>1200</v>
      </c>
      <c r="G76" s="1" t="s">
        <v>1201</v>
      </c>
      <c r="H76" s="1" t="s">
        <v>1202</v>
      </c>
      <c r="I76" s="1" t="s">
        <v>1203</v>
      </c>
      <c r="J76" s="1" t="str">
        <f t="shared" si="1"/>
        <v>Non-Compliant</v>
      </c>
      <c r="K76" s="1" t="str">
        <f t="shared" si="2"/>
        <v>Non-Incentive</v>
      </c>
      <c r="L76" s="1" t="str">
        <f t="shared" si="3"/>
        <v>TUG</v>
      </c>
      <c r="M76" s="1">
        <f t="shared" si="4"/>
        <v>3</v>
      </c>
      <c r="N76" s="1">
        <f t="shared" si="5"/>
        <v>2017</v>
      </c>
    </row>
    <row r="77" ht="15.75" customHeight="1">
      <c r="A77" s="1" t="s">
        <v>14</v>
      </c>
      <c r="B77" s="1">
        <v>9131041.0</v>
      </c>
      <c r="C77" s="1" t="s">
        <v>966</v>
      </c>
      <c r="D77" s="1" t="s">
        <v>969</v>
      </c>
      <c r="E77" s="1" t="s">
        <v>970</v>
      </c>
      <c r="F77" s="1" t="s">
        <v>971</v>
      </c>
      <c r="G77" s="1" t="s">
        <v>37</v>
      </c>
      <c r="H77" s="1" t="s">
        <v>972</v>
      </c>
      <c r="I77" s="1" t="s">
        <v>973</v>
      </c>
      <c r="J77" s="1" t="str">
        <f t="shared" si="1"/>
        <v>Non-Compliant</v>
      </c>
      <c r="K77" s="1" t="str">
        <f t="shared" si="2"/>
        <v>Non-Incentive</v>
      </c>
      <c r="L77" s="1" t="str">
        <f t="shared" si="3"/>
        <v>TUG</v>
      </c>
      <c r="M77" s="1">
        <f t="shared" si="4"/>
        <v>3</v>
      </c>
      <c r="N77" s="1">
        <f t="shared" si="5"/>
        <v>2017</v>
      </c>
    </row>
    <row r="78" ht="15.75" customHeight="1">
      <c r="A78" s="1" t="s">
        <v>14</v>
      </c>
      <c r="B78" s="1">
        <v>1254519.0</v>
      </c>
      <c r="C78" s="1" t="s">
        <v>1342</v>
      </c>
      <c r="D78" s="1" t="s">
        <v>1365</v>
      </c>
      <c r="E78" s="1" t="s">
        <v>1366</v>
      </c>
      <c r="F78" s="1" t="s">
        <v>1362</v>
      </c>
      <c r="G78" s="1" t="s">
        <v>19</v>
      </c>
      <c r="H78" s="1" t="s">
        <v>1367</v>
      </c>
      <c r="I78" s="1" t="s">
        <v>1368</v>
      </c>
      <c r="J78" s="1" t="str">
        <f t="shared" si="1"/>
        <v>Non-Compliant</v>
      </c>
      <c r="K78" s="1" t="str">
        <f t="shared" si="2"/>
        <v>Non-Incentive</v>
      </c>
      <c r="L78" s="1" t="str">
        <f t="shared" si="3"/>
        <v>TUG</v>
      </c>
      <c r="M78" s="1">
        <f t="shared" si="4"/>
        <v>3</v>
      </c>
      <c r="N78" s="1">
        <f t="shared" si="5"/>
        <v>2017</v>
      </c>
    </row>
    <row r="79" ht="15.75" customHeight="1">
      <c r="A79" s="1" t="s">
        <v>14</v>
      </c>
      <c r="B79" s="1">
        <v>9786910.0</v>
      </c>
      <c r="C79" s="1" t="s">
        <v>1194</v>
      </c>
      <c r="D79" s="1" t="s">
        <v>1195</v>
      </c>
      <c r="E79" s="1" t="s">
        <v>1114</v>
      </c>
      <c r="F79" s="1" t="s">
        <v>1196</v>
      </c>
      <c r="G79" s="1" t="s">
        <v>19</v>
      </c>
      <c r="H79" s="1" t="s">
        <v>1197</v>
      </c>
      <c r="I79" s="1" t="s">
        <v>1198</v>
      </c>
      <c r="J79" s="1" t="str">
        <f t="shared" si="1"/>
        <v>Non-Compliant</v>
      </c>
      <c r="K79" s="1" t="str">
        <f t="shared" si="2"/>
        <v>Non-Incentive</v>
      </c>
      <c r="L79" s="1" t="str">
        <f t="shared" si="3"/>
        <v>TUG</v>
      </c>
      <c r="M79" s="1">
        <f t="shared" si="4"/>
        <v>3</v>
      </c>
      <c r="N79" s="1">
        <f t="shared" si="5"/>
        <v>2017</v>
      </c>
    </row>
    <row r="80" ht="15.75" customHeight="1">
      <c r="A80" s="1" t="s">
        <v>14</v>
      </c>
      <c r="B80" s="1">
        <v>1318294.0</v>
      </c>
      <c r="C80" s="1" t="s">
        <v>1399</v>
      </c>
      <c r="D80" s="1" t="s">
        <v>1412</v>
      </c>
      <c r="E80" s="1" t="s">
        <v>1361</v>
      </c>
      <c r="F80" s="1" t="s">
        <v>1413</v>
      </c>
      <c r="G80" s="1" t="s">
        <v>19</v>
      </c>
      <c r="H80" s="1" t="s">
        <v>1414</v>
      </c>
      <c r="I80" s="1" t="s">
        <v>1415</v>
      </c>
      <c r="J80" s="1" t="str">
        <f t="shared" si="1"/>
        <v>Non-Compliant</v>
      </c>
      <c r="K80" s="1" t="str">
        <f t="shared" si="2"/>
        <v>Non-Incentive</v>
      </c>
      <c r="L80" s="1" t="str">
        <f t="shared" si="3"/>
        <v>TUG</v>
      </c>
      <c r="M80" s="1">
        <f t="shared" si="4"/>
        <v>3</v>
      </c>
      <c r="N80" s="1">
        <f t="shared" si="5"/>
        <v>2017</v>
      </c>
    </row>
    <row r="81" ht="15.75" customHeight="1">
      <c r="A81" s="1" t="s">
        <v>14</v>
      </c>
      <c r="B81" s="1">
        <v>9929860.0</v>
      </c>
      <c r="C81" s="1" t="s">
        <v>1214</v>
      </c>
      <c r="D81" s="1" t="s">
        <v>1215</v>
      </c>
      <c r="E81" s="1" t="s">
        <v>1216</v>
      </c>
      <c r="F81" s="1" t="s">
        <v>1217</v>
      </c>
      <c r="G81" s="1" t="s">
        <v>1218</v>
      </c>
      <c r="H81" s="1" t="s">
        <v>1219</v>
      </c>
      <c r="I81" s="1" t="s">
        <v>1220</v>
      </c>
      <c r="J81" s="1" t="str">
        <f t="shared" si="1"/>
        <v>Non-Compliant</v>
      </c>
      <c r="K81" s="1" t="str">
        <f t="shared" si="2"/>
        <v>Non-Incentive</v>
      </c>
      <c r="L81" s="1" t="str">
        <f t="shared" si="3"/>
        <v>TUG</v>
      </c>
      <c r="M81" s="1">
        <f t="shared" si="4"/>
        <v>3</v>
      </c>
      <c r="N81" s="1">
        <f t="shared" si="5"/>
        <v>2017</v>
      </c>
    </row>
    <row r="82" ht="15.75" customHeight="1">
      <c r="A82" s="1" t="s">
        <v>14</v>
      </c>
      <c r="B82" s="1">
        <v>9572277.0</v>
      </c>
      <c r="C82" s="1" t="s">
        <v>1098</v>
      </c>
      <c r="D82" s="1" t="s">
        <v>1104</v>
      </c>
      <c r="E82" s="1" t="s">
        <v>1105</v>
      </c>
      <c r="F82" s="1" t="s">
        <v>1106</v>
      </c>
      <c r="G82" s="1" t="s">
        <v>19</v>
      </c>
      <c r="H82" s="1" t="s">
        <v>1107</v>
      </c>
      <c r="I82" s="1" t="s">
        <v>1108</v>
      </c>
      <c r="J82" s="1" t="str">
        <f t="shared" si="1"/>
        <v>Non-Compliant</v>
      </c>
      <c r="K82" s="1" t="str">
        <f t="shared" si="2"/>
        <v>Non-Incentive</v>
      </c>
      <c r="L82" s="1" t="str">
        <f t="shared" si="3"/>
        <v>TUG</v>
      </c>
      <c r="M82" s="1">
        <f t="shared" si="4"/>
        <v>3</v>
      </c>
      <c r="N82" s="1">
        <f t="shared" si="5"/>
        <v>2017</v>
      </c>
    </row>
    <row r="83" ht="15.75" customHeight="1">
      <c r="A83" s="1" t="s">
        <v>14</v>
      </c>
      <c r="B83" s="1">
        <v>9852487.0</v>
      </c>
      <c r="C83" s="1" t="s">
        <v>1208</v>
      </c>
      <c r="D83" s="1" t="s">
        <v>1209</v>
      </c>
      <c r="E83" s="1" t="s">
        <v>1210</v>
      </c>
      <c r="F83" s="1" t="s">
        <v>1211</v>
      </c>
      <c r="G83" s="1" t="s">
        <v>19</v>
      </c>
      <c r="H83" s="1" t="s">
        <v>1212</v>
      </c>
      <c r="I83" s="1" t="s">
        <v>1213</v>
      </c>
      <c r="J83" s="1" t="str">
        <f t="shared" si="1"/>
        <v>Non-Compliant</v>
      </c>
      <c r="K83" s="1" t="str">
        <f t="shared" si="2"/>
        <v>Non-Incentive</v>
      </c>
      <c r="L83" s="1" t="str">
        <f t="shared" si="3"/>
        <v>TUG</v>
      </c>
      <c r="M83" s="1">
        <f t="shared" si="4"/>
        <v>3</v>
      </c>
      <c r="N83" s="1">
        <f t="shared" si="5"/>
        <v>2017</v>
      </c>
    </row>
    <row r="84" ht="15.75" customHeight="1">
      <c r="A84" s="1" t="s">
        <v>14</v>
      </c>
      <c r="B84" s="1">
        <v>1062588.0</v>
      </c>
      <c r="C84" s="1" t="s">
        <v>1257</v>
      </c>
      <c r="D84" s="1" t="s">
        <v>1263</v>
      </c>
      <c r="E84" s="1" t="s">
        <v>1264</v>
      </c>
      <c r="F84" s="1" t="s">
        <v>1265</v>
      </c>
      <c r="G84" s="1" t="s">
        <v>19</v>
      </c>
      <c r="H84" s="1" t="s">
        <v>1266</v>
      </c>
      <c r="I84" s="1" t="s">
        <v>1267</v>
      </c>
      <c r="J84" s="1" t="str">
        <f t="shared" si="1"/>
        <v>Non-Compliant</v>
      </c>
      <c r="K84" s="1" t="str">
        <f t="shared" si="2"/>
        <v>Non-Incentive</v>
      </c>
      <c r="L84" s="1" t="str">
        <f t="shared" si="3"/>
        <v>TUG</v>
      </c>
      <c r="M84" s="1">
        <f t="shared" si="4"/>
        <v>3</v>
      </c>
      <c r="N84" s="1">
        <f t="shared" si="5"/>
        <v>2017</v>
      </c>
    </row>
    <row r="85" ht="15.75" customHeight="1">
      <c r="A85" s="1" t="s">
        <v>14</v>
      </c>
      <c r="B85" s="1">
        <v>1072758.0</v>
      </c>
      <c r="C85" s="1" t="s">
        <v>1257</v>
      </c>
      <c r="D85" s="1" t="s">
        <v>1281</v>
      </c>
      <c r="E85" s="1" t="s">
        <v>1259</v>
      </c>
      <c r="F85" s="1" t="s">
        <v>1282</v>
      </c>
      <c r="G85" s="1" t="s">
        <v>19</v>
      </c>
      <c r="H85" s="1" t="s">
        <v>1283</v>
      </c>
      <c r="I85" s="1" t="s">
        <v>1284</v>
      </c>
      <c r="J85" s="1" t="str">
        <f t="shared" si="1"/>
        <v>Non-Compliant</v>
      </c>
      <c r="K85" s="1" t="str">
        <f t="shared" si="2"/>
        <v>Non-Incentive</v>
      </c>
      <c r="L85" s="1" t="str">
        <f t="shared" si="3"/>
        <v>TUG</v>
      </c>
      <c r="M85" s="1">
        <f t="shared" si="4"/>
        <v>3</v>
      </c>
      <c r="N85" s="1">
        <f t="shared" si="5"/>
        <v>2017</v>
      </c>
    </row>
    <row r="86" ht="15.75" customHeight="1">
      <c r="A86" s="1" t="s">
        <v>14</v>
      </c>
      <c r="B86" s="1">
        <v>8909116.0</v>
      </c>
      <c r="C86" s="1" t="s">
        <v>841</v>
      </c>
      <c r="D86" s="1" t="s">
        <v>847</v>
      </c>
      <c r="E86" s="1" t="s">
        <v>848</v>
      </c>
      <c r="F86" s="1" t="s">
        <v>849</v>
      </c>
      <c r="G86" s="1" t="s">
        <v>850</v>
      </c>
      <c r="H86" s="1" t="s">
        <v>851</v>
      </c>
      <c r="I86" s="1" t="s">
        <v>852</v>
      </c>
      <c r="J86" s="1" t="str">
        <f t="shared" si="1"/>
        <v>Non-Compliant</v>
      </c>
      <c r="K86" s="1" t="str">
        <f t="shared" si="2"/>
        <v>Non-Incentive</v>
      </c>
      <c r="L86" s="1" t="str">
        <f t="shared" si="3"/>
        <v>TUG</v>
      </c>
      <c r="M86" s="1">
        <f t="shared" si="4"/>
        <v>3</v>
      </c>
      <c r="N86" s="1">
        <f t="shared" si="5"/>
        <v>2017</v>
      </c>
    </row>
    <row r="87" ht="15.75" customHeight="1">
      <c r="A87" s="1" t="s">
        <v>14</v>
      </c>
      <c r="B87" s="1">
        <v>8909119.0</v>
      </c>
      <c r="C87" s="1" t="s">
        <v>841</v>
      </c>
      <c r="D87" s="1" t="s">
        <v>853</v>
      </c>
      <c r="E87" s="1" t="s">
        <v>848</v>
      </c>
      <c r="F87" s="1" t="s">
        <v>849</v>
      </c>
      <c r="G87" s="1" t="s">
        <v>854</v>
      </c>
      <c r="H87" s="1" t="s">
        <v>855</v>
      </c>
      <c r="I87" s="1" t="s">
        <v>852</v>
      </c>
      <c r="J87" s="1" t="str">
        <f t="shared" si="1"/>
        <v>Non-Compliant</v>
      </c>
      <c r="K87" s="1" t="str">
        <f t="shared" si="2"/>
        <v>Non-Incentive</v>
      </c>
      <c r="L87" s="1" t="str">
        <f t="shared" si="3"/>
        <v>TUG</v>
      </c>
      <c r="M87" s="1">
        <f t="shared" si="4"/>
        <v>3</v>
      </c>
      <c r="N87" s="1">
        <f t="shared" si="5"/>
        <v>2017</v>
      </c>
    </row>
    <row r="88" ht="15.75" customHeight="1">
      <c r="A88" s="1" t="s">
        <v>14</v>
      </c>
      <c r="B88" s="1">
        <v>8909141.0</v>
      </c>
      <c r="C88" s="1" t="s">
        <v>841</v>
      </c>
      <c r="D88" s="1" t="s">
        <v>856</v>
      </c>
      <c r="E88" s="1" t="s">
        <v>848</v>
      </c>
      <c r="F88" s="1" t="s">
        <v>849</v>
      </c>
      <c r="G88" s="1" t="s">
        <v>850</v>
      </c>
      <c r="H88" s="1" t="s">
        <v>851</v>
      </c>
      <c r="I88" s="1" t="s">
        <v>852</v>
      </c>
      <c r="J88" s="1" t="str">
        <f t="shared" si="1"/>
        <v>Non-Compliant</v>
      </c>
      <c r="K88" s="1" t="str">
        <f t="shared" si="2"/>
        <v>Non-Incentive</v>
      </c>
      <c r="L88" s="1" t="str">
        <f t="shared" si="3"/>
        <v>TUG</v>
      </c>
      <c r="M88" s="1">
        <f t="shared" si="4"/>
        <v>3</v>
      </c>
      <c r="N88" s="1">
        <f t="shared" si="5"/>
        <v>2017</v>
      </c>
    </row>
    <row r="89" ht="15.75" customHeight="1">
      <c r="A89" s="1" t="s">
        <v>14</v>
      </c>
      <c r="B89" s="1">
        <v>8909143.0</v>
      </c>
      <c r="C89" s="1" t="s">
        <v>841</v>
      </c>
      <c r="D89" s="1" t="s">
        <v>857</v>
      </c>
      <c r="E89" s="1" t="s">
        <v>848</v>
      </c>
      <c r="F89" s="1" t="s">
        <v>849</v>
      </c>
      <c r="G89" s="1" t="s">
        <v>850</v>
      </c>
      <c r="H89" s="1" t="s">
        <v>851</v>
      </c>
      <c r="I89" s="1" t="s">
        <v>852</v>
      </c>
      <c r="J89" s="1" t="str">
        <f t="shared" si="1"/>
        <v>Non-Compliant</v>
      </c>
      <c r="K89" s="1" t="str">
        <f t="shared" si="2"/>
        <v>Non-Incentive</v>
      </c>
      <c r="L89" s="1" t="str">
        <f t="shared" si="3"/>
        <v>TUG</v>
      </c>
      <c r="M89" s="1">
        <f t="shared" si="4"/>
        <v>3</v>
      </c>
      <c r="N89" s="1">
        <f t="shared" si="5"/>
        <v>2017</v>
      </c>
    </row>
    <row r="90" ht="15.75" customHeight="1">
      <c r="A90" s="1" t="s">
        <v>14</v>
      </c>
      <c r="B90" s="1">
        <v>8909148.0</v>
      </c>
      <c r="C90" s="1" t="s">
        <v>841</v>
      </c>
      <c r="D90" s="1" t="s">
        <v>858</v>
      </c>
      <c r="E90" s="1" t="s">
        <v>848</v>
      </c>
      <c r="F90" s="1" t="s">
        <v>849</v>
      </c>
      <c r="G90" s="1" t="s">
        <v>859</v>
      </c>
      <c r="H90" s="1" t="s">
        <v>860</v>
      </c>
      <c r="I90" s="1" t="s">
        <v>852</v>
      </c>
      <c r="J90" s="1" t="str">
        <f t="shared" si="1"/>
        <v>Non-Compliant</v>
      </c>
      <c r="K90" s="1" t="str">
        <f t="shared" si="2"/>
        <v>Non-Incentive</v>
      </c>
      <c r="L90" s="1" t="str">
        <f t="shared" si="3"/>
        <v>TUG</v>
      </c>
      <c r="M90" s="1">
        <f t="shared" si="4"/>
        <v>3</v>
      </c>
      <c r="N90" s="1">
        <f t="shared" si="5"/>
        <v>2017</v>
      </c>
    </row>
    <row r="91" ht="15.75" customHeight="1">
      <c r="A91" s="1" t="s">
        <v>14</v>
      </c>
      <c r="B91" s="1">
        <v>8910761.0</v>
      </c>
      <c r="C91" s="1" t="s">
        <v>841</v>
      </c>
      <c r="D91" s="1" t="s">
        <v>861</v>
      </c>
      <c r="E91" s="1" t="s">
        <v>848</v>
      </c>
      <c r="F91" s="1" t="s">
        <v>849</v>
      </c>
      <c r="G91" s="1" t="s">
        <v>850</v>
      </c>
      <c r="H91" s="1" t="s">
        <v>851</v>
      </c>
      <c r="I91" s="1" t="s">
        <v>852</v>
      </c>
      <c r="J91" s="1" t="str">
        <f t="shared" si="1"/>
        <v>Non-Compliant</v>
      </c>
      <c r="K91" s="1" t="str">
        <f t="shared" si="2"/>
        <v>Non-Incentive</v>
      </c>
      <c r="L91" s="1" t="str">
        <f t="shared" si="3"/>
        <v>TUG</v>
      </c>
      <c r="M91" s="1">
        <f t="shared" si="4"/>
        <v>3</v>
      </c>
      <c r="N91" s="1">
        <f t="shared" si="5"/>
        <v>2017</v>
      </c>
    </row>
    <row r="92" ht="15.75" customHeight="1">
      <c r="A92" s="1" t="s">
        <v>14</v>
      </c>
      <c r="B92" s="1">
        <v>1168946.0</v>
      </c>
      <c r="C92" s="1" t="s">
        <v>1299</v>
      </c>
      <c r="D92" s="1" t="s">
        <v>1300</v>
      </c>
      <c r="E92" s="1" t="s">
        <v>1231</v>
      </c>
      <c r="F92" s="1" t="s">
        <v>1301</v>
      </c>
      <c r="G92" s="1" t="s">
        <v>19</v>
      </c>
      <c r="H92" s="1" t="s">
        <v>1302</v>
      </c>
      <c r="I92" s="1" t="s">
        <v>1303</v>
      </c>
      <c r="J92" s="1" t="str">
        <f t="shared" si="1"/>
        <v>Non-Compliant</v>
      </c>
      <c r="K92" s="1" t="str">
        <f t="shared" si="2"/>
        <v>Non-Incentive</v>
      </c>
      <c r="L92" s="1" t="str">
        <f t="shared" si="3"/>
        <v>TUG</v>
      </c>
      <c r="M92" s="1">
        <f t="shared" si="4"/>
        <v>3</v>
      </c>
      <c r="N92" s="1">
        <f t="shared" si="5"/>
        <v>2017</v>
      </c>
    </row>
    <row r="93" ht="15.75" customHeight="1">
      <c r="A93" s="1" t="s">
        <v>14</v>
      </c>
      <c r="B93" s="1">
        <v>1254838.0</v>
      </c>
      <c r="C93" s="1" t="s">
        <v>1342</v>
      </c>
      <c r="D93" s="1" t="s">
        <v>1369</v>
      </c>
      <c r="E93" s="1" t="s">
        <v>1370</v>
      </c>
      <c r="F93" s="1" t="s">
        <v>1371</v>
      </c>
      <c r="G93" s="1" t="s">
        <v>1372</v>
      </c>
      <c r="H93" s="1" t="s">
        <v>1373</v>
      </c>
      <c r="I93" s="1" t="s">
        <v>1374</v>
      </c>
      <c r="J93" s="1" t="str">
        <f t="shared" si="1"/>
        <v>Non-Compliant</v>
      </c>
      <c r="K93" s="1" t="str">
        <f t="shared" si="2"/>
        <v>Non-Incentive</v>
      </c>
      <c r="L93" s="1" t="str">
        <f t="shared" si="3"/>
        <v>TUG</v>
      </c>
      <c r="M93" s="1">
        <f t="shared" si="4"/>
        <v>3</v>
      </c>
      <c r="N93" s="1">
        <f t="shared" si="5"/>
        <v>2017</v>
      </c>
    </row>
    <row r="94" ht="15.75" customHeight="1">
      <c r="A94" s="1" t="s">
        <v>14</v>
      </c>
      <c r="B94" s="1">
        <v>1364053.0</v>
      </c>
      <c r="C94" s="1" t="s">
        <v>1442</v>
      </c>
      <c r="D94" s="1" t="s">
        <v>1443</v>
      </c>
      <c r="E94" s="1" t="s">
        <v>1444</v>
      </c>
      <c r="F94" s="1" t="s">
        <v>1445</v>
      </c>
      <c r="G94" s="1" t="s">
        <v>37</v>
      </c>
      <c r="H94" s="1" t="s">
        <v>1446</v>
      </c>
      <c r="I94" s="1" t="s">
        <v>1447</v>
      </c>
      <c r="J94" s="1" t="str">
        <f t="shared" si="1"/>
        <v>Non-Compliant</v>
      </c>
      <c r="K94" s="1" t="str">
        <f t="shared" si="2"/>
        <v>Non-Incentive</v>
      </c>
      <c r="L94" s="1" t="str">
        <f t="shared" si="3"/>
        <v>TUG</v>
      </c>
      <c r="M94" s="1">
        <f t="shared" si="4"/>
        <v>3</v>
      </c>
      <c r="N94" s="1">
        <f t="shared" si="5"/>
        <v>2017</v>
      </c>
    </row>
    <row r="95" ht="15.75" customHeight="1">
      <c r="A95" s="1" t="s">
        <v>14</v>
      </c>
      <c r="B95" s="1">
        <v>8222240.0</v>
      </c>
      <c r="C95" s="1" t="s">
        <v>415</v>
      </c>
      <c r="D95" s="1" t="s">
        <v>437</v>
      </c>
      <c r="E95" s="1" t="s">
        <v>438</v>
      </c>
      <c r="F95" s="1" t="s">
        <v>439</v>
      </c>
      <c r="G95" s="1" t="s">
        <v>37</v>
      </c>
      <c r="H95" s="1" t="s">
        <v>440</v>
      </c>
      <c r="I95" s="1" t="s">
        <v>441</v>
      </c>
      <c r="J95" s="1" t="str">
        <f t="shared" si="1"/>
        <v>Non-Compliant</v>
      </c>
      <c r="K95" s="1" t="str">
        <f t="shared" si="2"/>
        <v>Non-Incentive</v>
      </c>
      <c r="L95" s="1" t="str">
        <f t="shared" si="3"/>
        <v>TUG</v>
      </c>
      <c r="M95" s="1">
        <f t="shared" si="4"/>
        <v>3</v>
      </c>
      <c r="N95" s="1">
        <f t="shared" si="5"/>
        <v>2017</v>
      </c>
    </row>
    <row r="96" ht="15.75" customHeight="1">
      <c r="A96" s="1" t="s">
        <v>14</v>
      </c>
      <c r="B96" s="1">
        <v>9093386.0</v>
      </c>
      <c r="C96" s="1" t="s">
        <v>945</v>
      </c>
      <c r="D96" s="1" t="s">
        <v>955</v>
      </c>
      <c r="E96" s="1" t="s">
        <v>936</v>
      </c>
      <c r="F96" s="1" t="s">
        <v>956</v>
      </c>
      <c r="G96" s="1" t="s">
        <v>19</v>
      </c>
      <c r="H96" s="1" t="s">
        <v>957</v>
      </c>
      <c r="I96" s="1" t="s">
        <v>958</v>
      </c>
      <c r="J96" s="1" t="str">
        <f t="shared" si="1"/>
        <v>Non-Compliant</v>
      </c>
      <c r="K96" s="1" t="str">
        <f t="shared" si="2"/>
        <v>Non-Incentive</v>
      </c>
      <c r="L96" s="1" t="str">
        <f t="shared" si="3"/>
        <v>TUG</v>
      </c>
      <c r="M96" s="1">
        <f t="shared" si="4"/>
        <v>3</v>
      </c>
      <c r="N96" s="1">
        <f t="shared" si="5"/>
        <v>2017</v>
      </c>
    </row>
    <row r="97" ht="15.75" customHeight="1">
      <c r="A97" s="1" t="s">
        <v>14</v>
      </c>
      <c r="B97" s="1">
        <v>1073185.0</v>
      </c>
      <c r="C97" s="1" t="s">
        <v>1257</v>
      </c>
      <c r="D97" s="1" t="s">
        <v>1285</v>
      </c>
      <c r="E97" s="1" t="s">
        <v>1286</v>
      </c>
      <c r="F97" s="1" t="s">
        <v>1287</v>
      </c>
      <c r="G97" s="1" t="s">
        <v>37</v>
      </c>
      <c r="H97" s="1" t="s">
        <v>1288</v>
      </c>
      <c r="I97" s="1" t="s">
        <v>1289</v>
      </c>
      <c r="J97" s="1" t="str">
        <f t="shared" si="1"/>
        <v>Non-Compliant</v>
      </c>
      <c r="K97" s="1" t="str">
        <f t="shared" si="2"/>
        <v>Non-Incentive</v>
      </c>
      <c r="L97" s="1" t="str">
        <f t="shared" si="3"/>
        <v>TUG</v>
      </c>
      <c r="M97" s="1">
        <f t="shared" si="4"/>
        <v>3</v>
      </c>
      <c r="N97" s="1">
        <f t="shared" si="5"/>
        <v>2017</v>
      </c>
    </row>
    <row r="98" ht="15.75" customHeight="1">
      <c r="A98" s="1" t="s">
        <v>14</v>
      </c>
      <c r="B98" s="1">
        <v>9683904.0</v>
      </c>
      <c r="C98" s="1" t="s">
        <v>1145</v>
      </c>
      <c r="D98" s="1" t="s">
        <v>1153</v>
      </c>
      <c r="E98" s="1" t="s">
        <v>1154</v>
      </c>
      <c r="F98" s="1" t="s">
        <v>1155</v>
      </c>
      <c r="G98" s="1" t="s">
        <v>37</v>
      </c>
      <c r="H98" s="1" t="s">
        <v>1156</v>
      </c>
      <c r="I98" s="1" t="s">
        <v>1157</v>
      </c>
      <c r="J98" s="1" t="str">
        <f t="shared" si="1"/>
        <v>Non-Compliant</v>
      </c>
      <c r="K98" s="1" t="str">
        <f t="shared" si="2"/>
        <v>Non-Incentive</v>
      </c>
      <c r="L98" s="1" t="str">
        <f t="shared" si="3"/>
        <v>TUG</v>
      </c>
      <c r="M98" s="1">
        <f t="shared" si="4"/>
        <v>3</v>
      </c>
      <c r="N98" s="1">
        <f t="shared" si="5"/>
        <v>2017</v>
      </c>
    </row>
    <row r="99" ht="15.75" customHeight="1">
      <c r="A99" s="1" t="s">
        <v>14</v>
      </c>
      <c r="B99" s="1">
        <v>1694312.0</v>
      </c>
      <c r="C99" s="1" t="s">
        <v>1607</v>
      </c>
      <c r="D99" s="1" t="s">
        <v>1608</v>
      </c>
      <c r="E99" s="1" t="s">
        <v>1587</v>
      </c>
      <c r="F99" s="1" t="s">
        <v>1609</v>
      </c>
      <c r="G99" s="1" t="s">
        <v>37</v>
      </c>
      <c r="H99" s="1" t="s">
        <v>1610</v>
      </c>
      <c r="I99" s="1" t="s">
        <v>1611</v>
      </c>
      <c r="J99" s="1" t="str">
        <f t="shared" si="1"/>
        <v>Non-Compliant</v>
      </c>
      <c r="K99" s="1" t="str">
        <f t="shared" si="2"/>
        <v>Non-Incentive</v>
      </c>
      <c r="L99" s="1" t="str">
        <f t="shared" si="3"/>
        <v>TUG</v>
      </c>
      <c r="M99" s="1">
        <f t="shared" si="4"/>
        <v>3</v>
      </c>
      <c r="N99" s="1">
        <f t="shared" si="5"/>
        <v>2017</v>
      </c>
    </row>
    <row r="100" ht="15.75" customHeight="1">
      <c r="A100" s="1" t="s">
        <v>14</v>
      </c>
      <c r="B100" s="1">
        <v>1350667.0</v>
      </c>
      <c r="C100" s="1" t="s">
        <v>1421</v>
      </c>
      <c r="D100" s="1" t="s">
        <v>1437</v>
      </c>
      <c r="E100" s="1" t="s">
        <v>1438</v>
      </c>
      <c r="F100" s="1" t="s">
        <v>1439</v>
      </c>
      <c r="G100" s="1" t="s">
        <v>19</v>
      </c>
      <c r="H100" s="1" t="s">
        <v>1440</v>
      </c>
      <c r="I100" s="1" t="s">
        <v>1441</v>
      </c>
      <c r="J100" s="1" t="str">
        <f t="shared" si="1"/>
        <v>Non-Compliant</v>
      </c>
      <c r="K100" s="1" t="str">
        <f t="shared" si="2"/>
        <v>Non-Incentive</v>
      </c>
      <c r="L100" s="1" t="str">
        <f t="shared" si="3"/>
        <v>TUG</v>
      </c>
      <c r="M100" s="1">
        <f t="shared" si="4"/>
        <v>3</v>
      </c>
      <c r="N100" s="1">
        <f t="shared" si="5"/>
        <v>2017</v>
      </c>
    </row>
    <row r="101" ht="15.75" customHeight="1">
      <c r="A101" s="1" t="s">
        <v>14</v>
      </c>
      <c r="B101" s="1">
        <v>1042281.0</v>
      </c>
      <c r="C101" s="1" t="s">
        <v>1240</v>
      </c>
      <c r="D101" s="1" t="s">
        <v>1246</v>
      </c>
      <c r="E101" s="1" t="s">
        <v>1247</v>
      </c>
      <c r="F101" s="1" t="s">
        <v>1248</v>
      </c>
      <c r="G101" s="1" t="s">
        <v>19</v>
      </c>
      <c r="H101" s="1" t="s">
        <v>1249</v>
      </c>
      <c r="I101" s="1" t="s">
        <v>1250</v>
      </c>
      <c r="J101" s="1" t="str">
        <f t="shared" si="1"/>
        <v>Non-Compliant</v>
      </c>
      <c r="K101" s="1" t="str">
        <f t="shared" si="2"/>
        <v>Non-Incentive</v>
      </c>
      <c r="L101" s="1" t="str">
        <f t="shared" si="3"/>
        <v>TUG</v>
      </c>
      <c r="M101" s="1">
        <f t="shared" si="4"/>
        <v>3</v>
      </c>
      <c r="N101" s="1">
        <f t="shared" si="5"/>
        <v>2017</v>
      </c>
    </row>
    <row r="102" ht="15.75" customHeight="1">
      <c r="A102" s="1" t="s">
        <v>14</v>
      </c>
      <c r="B102" s="1">
        <v>1274037.0</v>
      </c>
      <c r="C102" s="1" t="s">
        <v>1379</v>
      </c>
      <c r="D102" s="1" t="s">
        <v>1384</v>
      </c>
      <c r="E102" s="1" t="s">
        <v>1385</v>
      </c>
      <c r="F102" s="1" t="s">
        <v>1386</v>
      </c>
      <c r="G102" s="1" t="s">
        <v>19</v>
      </c>
      <c r="H102" s="1" t="s">
        <v>1387</v>
      </c>
      <c r="I102" s="1" t="s">
        <v>1388</v>
      </c>
      <c r="J102" s="1" t="str">
        <f t="shared" si="1"/>
        <v>Non-Compliant</v>
      </c>
      <c r="K102" s="1" t="str">
        <f t="shared" si="2"/>
        <v>Non-Incentive</v>
      </c>
      <c r="L102" s="1" t="str">
        <f t="shared" si="3"/>
        <v>TUG</v>
      </c>
      <c r="M102" s="1">
        <f t="shared" si="4"/>
        <v>3</v>
      </c>
      <c r="N102" s="1">
        <f t="shared" si="5"/>
        <v>2017</v>
      </c>
    </row>
    <row r="103" ht="15.75" customHeight="1">
      <c r="A103" s="1" t="s">
        <v>14</v>
      </c>
      <c r="B103" s="1">
        <v>1487575.0</v>
      </c>
      <c r="C103" s="1" t="s">
        <v>1491</v>
      </c>
      <c r="D103" s="1" t="s">
        <v>1497</v>
      </c>
      <c r="E103" s="1" t="s">
        <v>1498</v>
      </c>
      <c r="F103" s="1" t="s">
        <v>1499</v>
      </c>
      <c r="G103" s="1" t="s">
        <v>19</v>
      </c>
      <c r="H103" s="1" t="s">
        <v>1500</v>
      </c>
      <c r="I103" s="1" t="s">
        <v>1501</v>
      </c>
      <c r="J103" s="1" t="str">
        <f t="shared" si="1"/>
        <v>Non-Compliant</v>
      </c>
      <c r="K103" s="1" t="str">
        <f t="shared" si="2"/>
        <v>Non-Incentive</v>
      </c>
      <c r="L103" s="1" t="str">
        <f t="shared" si="3"/>
        <v>TUG</v>
      </c>
      <c r="M103" s="1">
        <f t="shared" si="4"/>
        <v>3</v>
      </c>
      <c r="N103" s="1">
        <f t="shared" si="5"/>
        <v>2017</v>
      </c>
    </row>
    <row r="104" ht="15.75" customHeight="1">
      <c r="A104" s="1" t="s">
        <v>14</v>
      </c>
      <c r="B104" s="1">
        <v>1521533.0</v>
      </c>
      <c r="C104" s="1" t="s">
        <v>1505</v>
      </c>
      <c r="D104" s="1" t="s">
        <v>1514</v>
      </c>
      <c r="E104" s="1" t="s">
        <v>1477</v>
      </c>
      <c r="F104" s="1" t="s">
        <v>1515</v>
      </c>
      <c r="G104" s="1" t="s">
        <v>19</v>
      </c>
      <c r="H104" s="1" t="s">
        <v>1516</v>
      </c>
      <c r="I104" s="1" t="s">
        <v>1517</v>
      </c>
      <c r="J104" s="1" t="str">
        <f t="shared" si="1"/>
        <v>Non-Compliant</v>
      </c>
      <c r="K104" s="1" t="str">
        <f t="shared" si="2"/>
        <v>Non-Incentive</v>
      </c>
      <c r="L104" s="1" t="str">
        <f t="shared" si="3"/>
        <v>TUG</v>
      </c>
      <c r="M104" s="1">
        <f t="shared" si="4"/>
        <v>3</v>
      </c>
      <c r="N104" s="1">
        <f t="shared" si="5"/>
        <v>2017</v>
      </c>
    </row>
    <row r="105" ht="15.75" customHeight="1">
      <c r="A105" s="1" t="s">
        <v>14</v>
      </c>
      <c r="B105" s="1">
        <v>1206147.0</v>
      </c>
      <c r="C105" s="1" t="s">
        <v>1320</v>
      </c>
      <c r="D105" s="1" t="s">
        <v>1321</v>
      </c>
      <c r="E105" s="1" t="s">
        <v>1322</v>
      </c>
      <c r="F105" s="1" t="s">
        <v>1323</v>
      </c>
      <c r="G105" s="1" t="s">
        <v>37</v>
      </c>
      <c r="H105" s="1" t="s">
        <v>1324</v>
      </c>
      <c r="I105" s="1" t="s">
        <v>1325</v>
      </c>
      <c r="J105" s="1" t="str">
        <f t="shared" si="1"/>
        <v>Non-Compliant</v>
      </c>
      <c r="K105" s="1" t="str">
        <f t="shared" si="2"/>
        <v>Non-Incentive</v>
      </c>
      <c r="L105" s="1" t="str">
        <f t="shared" si="3"/>
        <v>TUG</v>
      </c>
      <c r="M105" s="1">
        <f t="shared" si="4"/>
        <v>3</v>
      </c>
      <c r="N105" s="1">
        <f t="shared" si="5"/>
        <v>2017</v>
      </c>
    </row>
    <row r="106" ht="15.75" customHeight="1">
      <c r="A106" s="1" t="s">
        <v>14</v>
      </c>
      <c r="B106" s="1">
        <v>1546285.0</v>
      </c>
      <c r="C106" s="1" t="s">
        <v>1522</v>
      </c>
      <c r="D106" s="1" t="s">
        <v>1523</v>
      </c>
      <c r="E106" s="1" t="s">
        <v>1503</v>
      </c>
      <c r="F106" s="1" t="s">
        <v>1524</v>
      </c>
      <c r="G106" s="1" t="s">
        <v>19</v>
      </c>
      <c r="H106" s="1" t="s">
        <v>1525</v>
      </c>
      <c r="I106" s="1" t="s">
        <v>1325</v>
      </c>
      <c r="J106" s="1" t="str">
        <f t="shared" si="1"/>
        <v>Non-Compliant</v>
      </c>
      <c r="K106" s="1" t="str">
        <f t="shared" si="2"/>
        <v>Non-Incentive</v>
      </c>
      <c r="L106" s="1" t="str">
        <f t="shared" si="3"/>
        <v>TUG</v>
      </c>
      <c r="M106" s="1">
        <f t="shared" si="4"/>
        <v>3</v>
      </c>
      <c r="N106" s="1">
        <f t="shared" si="5"/>
        <v>2017</v>
      </c>
    </row>
    <row r="107" ht="15.75" customHeight="1">
      <c r="A107" s="1" t="s">
        <v>14</v>
      </c>
      <c r="B107" s="1">
        <v>1469621.0</v>
      </c>
      <c r="C107" s="1" t="s">
        <v>1465</v>
      </c>
      <c r="D107" s="1" t="s">
        <v>1476</v>
      </c>
      <c r="E107" s="1" t="s">
        <v>1477</v>
      </c>
      <c r="F107" s="1" t="s">
        <v>1478</v>
      </c>
      <c r="G107" s="1" t="s">
        <v>19</v>
      </c>
      <c r="H107" s="1" t="s">
        <v>1479</v>
      </c>
      <c r="I107" s="1" t="s">
        <v>1480</v>
      </c>
      <c r="J107" s="1" t="str">
        <f t="shared" si="1"/>
        <v>Non-Compliant</v>
      </c>
      <c r="K107" s="1" t="str">
        <f t="shared" si="2"/>
        <v>Non-Incentive</v>
      </c>
      <c r="L107" s="1" t="str">
        <f t="shared" si="3"/>
        <v>TUG</v>
      </c>
      <c r="M107" s="1">
        <f t="shared" si="4"/>
        <v>3</v>
      </c>
      <c r="N107" s="1">
        <f t="shared" si="5"/>
        <v>2017</v>
      </c>
    </row>
    <row r="108" ht="15.75" customHeight="1">
      <c r="A108" s="1" t="s">
        <v>14</v>
      </c>
      <c r="B108" s="1">
        <v>1705753.0</v>
      </c>
      <c r="C108" s="1" t="s">
        <v>1607</v>
      </c>
      <c r="D108" s="1" t="s">
        <v>1616</v>
      </c>
      <c r="E108" s="1" t="s">
        <v>1617</v>
      </c>
      <c r="F108" s="1" t="s">
        <v>1618</v>
      </c>
      <c r="G108" s="1" t="s">
        <v>19</v>
      </c>
      <c r="H108" s="1" t="s">
        <v>1619</v>
      </c>
      <c r="I108" s="1" t="s">
        <v>1620</v>
      </c>
      <c r="J108" s="1" t="str">
        <f t="shared" si="1"/>
        <v>Non-Compliant</v>
      </c>
      <c r="K108" s="1" t="str">
        <f t="shared" si="2"/>
        <v>Non-Incentive</v>
      </c>
      <c r="L108" s="1" t="str">
        <f t="shared" si="3"/>
        <v>TUG</v>
      </c>
      <c r="M108" s="1">
        <f t="shared" si="4"/>
        <v>3</v>
      </c>
      <c r="N108" s="1">
        <f t="shared" si="5"/>
        <v>2017</v>
      </c>
    </row>
    <row r="109" ht="15.75" customHeight="1">
      <c r="A109" s="1" t="s">
        <v>14</v>
      </c>
      <c r="B109" s="1">
        <v>1719344.0</v>
      </c>
      <c r="C109" s="1" t="s">
        <v>1621</v>
      </c>
      <c r="D109" s="1" t="s">
        <v>1608</v>
      </c>
      <c r="E109" s="1" t="s">
        <v>1559</v>
      </c>
      <c r="F109" s="1" t="s">
        <v>1626</v>
      </c>
      <c r="G109" s="1" t="s">
        <v>37</v>
      </c>
      <c r="H109" s="1" t="s">
        <v>1627</v>
      </c>
      <c r="I109" s="1" t="s">
        <v>1628</v>
      </c>
      <c r="J109" s="1" t="str">
        <f t="shared" si="1"/>
        <v>Non-Compliant</v>
      </c>
      <c r="K109" s="1" t="str">
        <f t="shared" si="2"/>
        <v>Non-Incentive</v>
      </c>
      <c r="L109" s="1" t="str">
        <f t="shared" si="3"/>
        <v>TUG</v>
      </c>
      <c r="M109" s="1">
        <f t="shared" si="4"/>
        <v>3</v>
      </c>
      <c r="N109" s="1">
        <f t="shared" si="5"/>
        <v>2017</v>
      </c>
    </row>
    <row r="110" ht="15.75" customHeight="1">
      <c r="A110" s="1" t="s">
        <v>14</v>
      </c>
      <c r="B110" s="1">
        <v>1779449.0</v>
      </c>
      <c r="C110" s="1" t="s">
        <v>1639</v>
      </c>
      <c r="D110" s="1" t="s">
        <v>1648</v>
      </c>
      <c r="E110" s="1" t="s">
        <v>1649</v>
      </c>
      <c r="F110" s="1" t="s">
        <v>1650</v>
      </c>
      <c r="G110" s="1" t="s">
        <v>19</v>
      </c>
      <c r="H110" s="1" t="s">
        <v>1651</v>
      </c>
      <c r="I110" s="1" t="s">
        <v>1652</v>
      </c>
      <c r="J110" s="1" t="str">
        <f t="shared" si="1"/>
        <v>Non-Compliant</v>
      </c>
      <c r="K110" s="1" t="str">
        <f t="shared" si="2"/>
        <v>Non-Incentive</v>
      </c>
      <c r="L110" s="1" t="str">
        <f t="shared" si="3"/>
        <v>TUG</v>
      </c>
      <c r="M110" s="1">
        <f t="shared" si="4"/>
        <v>3</v>
      </c>
      <c r="N110" s="1">
        <f t="shared" si="5"/>
        <v>2017</v>
      </c>
    </row>
    <row r="111" ht="15.75" customHeight="1">
      <c r="A111" s="1" t="s">
        <v>14</v>
      </c>
      <c r="B111" s="1">
        <v>1817413.0</v>
      </c>
      <c r="C111" s="1" t="s">
        <v>1663</v>
      </c>
      <c r="D111" s="1" t="s">
        <v>1677</v>
      </c>
      <c r="E111" s="1" t="s">
        <v>1649</v>
      </c>
      <c r="F111" s="1" t="s">
        <v>1678</v>
      </c>
      <c r="G111" s="1" t="s">
        <v>19</v>
      </c>
      <c r="H111" s="1" t="s">
        <v>1679</v>
      </c>
      <c r="I111" s="1" t="s">
        <v>1652</v>
      </c>
      <c r="J111" s="1" t="str">
        <f t="shared" si="1"/>
        <v>Non-Compliant</v>
      </c>
      <c r="K111" s="1" t="str">
        <f t="shared" si="2"/>
        <v>Non-Incentive</v>
      </c>
      <c r="L111" s="1" t="str">
        <f t="shared" si="3"/>
        <v>TUG</v>
      </c>
      <c r="M111" s="1">
        <f t="shared" si="4"/>
        <v>3</v>
      </c>
      <c r="N111" s="1">
        <f t="shared" si="5"/>
        <v>2017</v>
      </c>
    </row>
    <row r="112" ht="15.75" customHeight="1">
      <c r="A112" s="1" t="s">
        <v>14</v>
      </c>
      <c r="B112" s="1">
        <v>1817472.0</v>
      </c>
      <c r="C112" s="1" t="s">
        <v>1663</v>
      </c>
      <c r="D112" s="1" t="s">
        <v>1680</v>
      </c>
      <c r="E112" s="1" t="s">
        <v>1649</v>
      </c>
      <c r="F112" s="1" t="s">
        <v>1681</v>
      </c>
      <c r="G112" s="1" t="s">
        <v>19</v>
      </c>
      <c r="H112" s="1" t="s">
        <v>1682</v>
      </c>
      <c r="I112" s="1" t="s">
        <v>1652</v>
      </c>
      <c r="J112" s="1" t="str">
        <f t="shared" si="1"/>
        <v>Non-Compliant</v>
      </c>
      <c r="K112" s="1" t="str">
        <f t="shared" si="2"/>
        <v>Non-Incentive</v>
      </c>
      <c r="L112" s="1" t="str">
        <f t="shared" si="3"/>
        <v>TUG</v>
      </c>
      <c r="M112" s="1">
        <f t="shared" si="4"/>
        <v>3</v>
      </c>
      <c r="N112" s="1">
        <f t="shared" si="5"/>
        <v>2017</v>
      </c>
    </row>
    <row r="113" ht="15.75" customHeight="1">
      <c r="A113" s="1" t="s">
        <v>14</v>
      </c>
      <c r="B113" s="1">
        <v>1904114.0</v>
      </c>
      <c r="C113" s="1" t="s">
        <v>1710</v>
      </c>
      <c r="D113" s="1" t="s">
        <v>1719</v>
      </c>
      <c r="E113" s="1" t="s">
        <v>1720</v>
      </c>
      <c r="F113" s="1" t="s">
        <v>1721</v>
      </c>
      <c r="G113" s="1" t="s">
        <v>19</v>
      </c>
      <c r="H113" s="1" t="s">
        <v>1722</v>
      </c>
      <c r="I113" s="1" t="s">
        <v>1723</v>
      </c>
      <c r="J113" s="1" t="str">
        <f t="shared" si="1"/>
        <v>Non-Compliant</v>
      </c>
      <c r="K113" s="1" t="str">
        <f t="shared" si="2"/>
        <v>Non-Incentive</v>
      </c>
      <c r="L113" s="1" t="str">
        <f t="shared" si="3"/>
        <v>TUG</v>
      </c>
      <c r="M113" s="1">
        <f t="shared" si="4"/>
        <v>3</v>
      </c>
      <c r="N113" s="1">
        <f t="shared" si="5"/>
        <v>2017</v>
      </c>
    </row>
    <row r="114" ht="15.75" customHeight="1">
      <c r="A114" s="1" t="s">
        <v>14</v>
      </c>
      <c r="B114" s="1">
        <v>1905542.0</v>
      </c>
      <c r="C114" s="1" t="s">
        <v>1710</v>
      </c>
      <c r="D114" s="1" t="s">
        <v>1724</v>
      </c>
      <c r="E114" s="1" t="s">
        <v>1725</v>
      </c>
      <c r="F114" s="1" t="s">
        <v>1726</v>
      </c>
      <c r="G114" s="1" t="s">
        <v>19</v>
      </c>
      <c r="H114" s="1" t="s">
        <v>1727</v>
      </c>
      <c r="I114" s="1" t="s">
        <v>1723</v>
      </c>
      <c r="J114" s="1" t="str">
        <f t="shared" si="1"/>
        <v>Non-Compliant</v>
      </c>
      <c r="K114" s="1" t="str">
        <f t="shared" si="2"/>
        <v>Non-Incentive</v>
      </c>
      <c r="L114" s="1" t="str">
        <f t="shared" si="3"/>
        <v>TUG</v>
      </c>
      <c r="M114" s="1">
        <f t="shared" si="4"/>
        <v>3</v>
      </c>
      <c r="N114" s="1">
        <f t="shared" si="5"/>
        <v>2017</v>
      </c>
    </row>
    <row r="115" ht="15.75" customHeight="1">
      <c r="A115" s="1" t="s">
        <v>14</v>
      </c>
      <c r="B115" s="1">
        <v>9736929.0</v>
      </c>
      <c r="C115" s="1" t="s">
        <v>1174</v>
      </c>
      <c r="D115" s="1" t="s">
        <v>1175</v>
      </c>
      <c r="E115" s="1" t="s">
        <v>1129</v>
      </c>
      <c r="F115" s="1" t="s">
        <v>1176</v>
      </c>
      <c r="G115" s="1" t="s">
        <v>19</v>
      </c>
      <c r="H115" s="1" t="s">
        <v>1177</v>
      </c>
      <c r="I115" s="1" t="s">
        <v>1178</v>
      </c>
      <c r="J115" s="1" t="str">
        <f t="shared" si="1"/>
        <v>Non-Compliant</v>
      </c>
      <c r="K115" s="1" t="str">
        <f t="shared" si="2"/>
        <v>Non-Incentive</v>
      </c>
      <c r="L115" s="1" t="str">
        <f t="shared" si="3"/>
        <v>TUG</v>
      </c>
      <c r="M115" s="1">
        <f t="shared" si="4"/>
        <v>3</v>
      </c>
      <c r="N115" s="1">
        <f t="shared" si="5"/>
        <v>2017</v>
      </c>
    </row>
    <row r="116" ht="15.75" customHeight="1">
      <c r="A116" s="1" t="s">
        <v>14</v>
      </c>
      <c r="B116" s="1">
        <v>1852350.0</v>
      </c>
      <c r="C116" s="1" t="s">
        <v>1683</v>
      </c>
      <c r="D116" s="1" t="s">
        <v>1689</v>
      </c>
      <c r="E116" s="1" t="s">
        <v>1665</v>
      </c>
      <c r="F116" s="1" t="s">
        <v>1690</v>
      </c>
      <c r="G116" s="1" t="s">
        <v>37</v>
      </c>
      <c r="H116" s="1" t="s">
        <v>1691</v>
      </c>
      <c r="I116" s="1" t="s">
        <v>1692</v>
      </c>
      <c r="J116" s="1" t="str">
        <f t="shared" si="1"/>
        <v>Non-Compliant</v>
      </c>
      <c r="K116" s="1" t="str">
        <f t="shared" si="2"/>
        <v>Non-Incentive</v>
      </c>
      <c r="L116" s="1" t="str">
        <f t="shared" si="3"/>
        <v>TUG</v>
      </c>
      <c r="M116" s="1">
        <f t="shared" si="4"/>
        <v>3</v>
      </c>
      <c r="N116" s="1">
        <f t="shared" si="5"/>
        <v>2017</v>
      </c>
    </row>
    <row r="117" ht="15.75" customHeight="1">
      <c r="A117" s="1" t="s">
        <v>14</v>
      </c>
      <c r="B117" s="1">
        <v>1616744.0</v>
      </c>
      <c r="C117" s="1" t="s">
        <v>1553</v>
      </c>
      <c r="D117" s="1" t="s">
        <v>1563</v>
      </c>
      <c r="E117" s="1" t="s">
        <v>1564</v>
      </c>
      <c r="F117" s="1" t="s">
        <v>1565</v>
      </c>
      <c r="G117" s="1" t="s">
        <v>19</v>
      </c>
      <c r="H117" s="1" t="s">
        <v>1566</v>
      </c>
      <c r="I117" s="1" t="s">
        <v>1567</v>
      </c>
      <c r="J117" s="1" t="str">
        <f t="shared" si="1"/>
        <v>Non-Compliant</v>
      </c>
      <c r="K117" s="1" t="str">
        <f t="shared" si="2"/>
        <v>Non-Incentive</v>
      </c>
      <c r="L117" s="1" t="str">
        <f t="shared" si="3"/>
        <v>TUG</v>
      </c>
      <c r="M117" s="1">
        <f t="shared" si="4"/>
        <v>3</v>
      </c>
      <c r="N117" s="1">
        <f t="shared" si="5"/>
        <v>2017</v>
      </c>
    </row>
    <row r="118" ht="15.75" customHeight="1">
      <c r="A118" s="1" t="s">
        <v>14</v>
      </c>
      <c r="B118" s="1">
        <v>1787183.0</v>
      </c>
      <c r="C118" s="1" t="s">
        <v>1639</v>
      </c>
      <c r="D118" s="1" t="s">
        <v>1655</v>
      </c>
      <c r="E118" s="1" t="s">
        <v>1656</v>
      </c>
      <c r="F118" s="1" t="s">
        <v>1657</v>
      </c>
      <c r="G118" s="1" t="s">
        <v>19</v>
      </c>
      <c r="H118" s="1" t="s">
        <v>1658</v>
      </c>
      <c r="I118" s="1" t="s">
        <v>1567</v>
      </c>
      <c r="J118" s="1" t="str">
        <f t="shared" si="1"/>
        <v>Non-Compliant</v>
      </c>
      <c r="K118" s="1" t="str">
        <f t="shared" si="2"/>
        <v>Non-Incentive</v>
      </c>
      <c r="L118" s="1" t="str">
        <f t="shared" si="3"/>
        <v>TUG</v>
      </c>
      <c r="M118" s="1">
        <f t="shared" si="4"/>
        <v>3</v>
      </c>
      <c r="N118" s="1">
        <f t="shared" si="5"/>
        <v>2017</v>
      </c>
    </row>
    <row r="119" ht="15.75" customHeight="1">
      <c r="A119" s="1" t="s">
        <v>14</v>
      </c>
      <c r="B119" s="1">
        <v>1474614.0</v>
      </c>
      <c r="C119" s="1" t="s">
        <v>1465</v>
      </c>
      <c r="D119" s="1" t="s">
        <v>1486</v>
      </c>
      <c r="E119" s="1" t="s">
        <v>1487</v>
      </c>
      <c r="F119" s="1" t="s">
        <v>1488</v>
      </c>
      <c r="G119" s="1" t="s">
        <v>37</v>
      </c>
      <c r="H119" s="1" t="s">
        <v>1489</v>
      </c>
      <c r="I119" s="1" t="s">
        <v>1490</v>
      </c>
      <c r="J119" s="1" t="str">
        <f t="shared" si="1"/>
        <v>Non-Compliant</v>
      </c>
      <c r="K119" s="1" t="str">
        <f t="shared" si="2"/>
        <v>Non-Incentive</v>
      </c>
      <c r="L119" s="1" t="str">
        <f t="shared" si="3"/>
        <v>TUG</v>
      </c>
      <c r="M119" s="1">
        <f t="shared" si="4"/>
        <v>3</v>
      </c>
      <c r="N119" s="1">
        <f t="shared" si="5"/>
        <v>2017</v>
      </c>
    </row>
    <row r="120" ht="15.75" customHeight="1">
      <c r="A120" s="1" t="s">
        <v>14</v>
      </c>
      <c r="B120" s="1">
        <v>1718128.0</v>
      </c>
      <c r="C120" s="1" t="s">
        <v>1621</v>
      </c>
      <c r="D120" s="1" t="s">
        <v>1622</v>
      </c>
      <c r="E120" s="1" t="s">
        <v>1564</v>
      </c>
      <c r="F120" s="1" t="s">
        <v>1623</v>
      </c>
      <c r="G120" s="1" t="s">
        <v>19</v>
      </c>
      <c r="H120" s="1" t="s">
        <v>1624</v>
      </c>
      <c r="I120" s="1" t="s">
        <v>1625</v>
      </c>
      <c r="J120" s="1" t="str">
        <f t="shared" si="1"/>
        <v>Non-Compliant</v>
      </c>
      <c r="K120" s="1" t="str">
        <f t="shared" si="2"/>
        <v>Non-Incentive</v>
      </c>
      <c r="L120" s="1" t="str">
        <f t="shared" si="3"/>
        <v>TUG</v>
      </c>
      <c r="M120" s="1">
        <f t="shared" si="4"/>
        <v>3</v>
      </c>
      <c r="N120" s="1">
        <f t="shared" si="5"/>
        <v>2017</v>
      </c>
    </row>
    <row r="121" ht="15.75" customHeight="1">
      <c r="A121" s="1" t="s">
        <v>14</v>
      </c>
      <c r="B121" s="1">
        <v>1780079.0</v>
      </c>
      <c r="C121" s="1" t="s">
        <v>1639</v>
      </c>
      <c r="D121" s="1" t="s">
        <v>1653</v>
      </c>
      <c r="E121" s="1" t="s">
        <v>1603</v>
      </c>
      <c r="F121" s="1" t="s">
        <v>1623</v>
      </c>
      <c r="G121" s="1" t="s">
        <v>19</v>
      </c>
      <c r="H121" s="1" t="s">
        <v>1654</v>
      </c>
      <c r="I121" s="1" t="s">
        <v>1625</v>
      </c>
      <c r="J121" s="1" t="str">
        <f t="shared" si="1"/>
        <v>Non-Compliant</v>
      </c>
      <c r="K121" s="1" t="str">
        <f t="shared" si="2"/>
        <v>Non-Incentive</v>
      </c>
      <c r="L121" s="1" t="str">
        <f t="shared" si="3"/>
        <v>TUG</v>
      </c>
      <c r="M121" s="1">
        <f t="shared" si="4"/>
        <v>3</v>
      </c>
      <c r="N121" s="1">
        <f t="shared" si="5"/>
        <v>2017</v>
      </c>
    </row>
    <row r="122" ht="15.75" customHeight="1">
      <c r="A122" s="1" t="s">
        <v>14</v>
      </c>
      <c r="B122" s="1">
        <v>1671114.0</v>
      </c>
      <c r="C122" s="1" t="s">
        <v>1585</v>
      </c>
      <c r="D122" s="1" t="s">
        <v>1595</v>
      </c>
      <c r="E122" s="1" t="s">
        <v>1596</v>
      </c>
      <c r="F122" s="1" t="s">
        <v>1597</v>
      </c>
      <c r="G122" s="1" t="s">
        <v>19</v>
      </c>
      <c r="H122" s="1" t="s">
        <v>1598</v>
      </c>
      <c r="I122" s="1" t="s">
        <v>1599</v>
      </c>
      <c r="J122" s="1" t="str">
        <f t="shared" si="1"/>
        <v>Non-Compliant</v>
      </c>
      <c r="K122" s="1" t="str">
        <f t="shared" si="2"/>
        <v>Non-Incentive</v>
      </c>
      <c r="L122" s="1" t="str">
        <f t="shared" si="3"/>
        <v>TUG</v>
      </c>
      <c r="M122" s="1">
        <f t="shared" si="4"/>
        <v>3</v>
      </c>
      <c r="N122" s="1">
        <f t="shared" si="5"/>
        <v>2017</v>
      </c>
    </row>
    <row r="123" ht="15.75" customHeight="1">
      <c r="A123" s="1" t="s">
        <v>14</v>
      </c>
      <c r="B123" s="1">
        <v>1866627.0</v>
      </c>
      <c r="C123" s="1" t="s">
        <v>1693</v>
      </c>
      <c r="D123" s="1" t="s">
        <v>1702</v>
      </c>
      <c r="E123" s="1" t="s">
        <v>1703</v>
      </c>
      <c r="F123" s="1" t="s">
        <v>1704</v>
      </c>
      <c r="G123" s="1" t="s">
        <v>19</v>
      </c>
      <c r="H123" s="1" t="s">
        <v>1705</v>
      </c>
      <c r="I123" s="1" t="s">
        <v>1706</v>
      </c>
      <c r="J123" s="1" t="str">
        <f t="shared" si="1"/>
        <v>Non-Compliant</v>
      </c>
      <c r="K123" s="1" t="str">
        <f t="shared" si="2"/>
        <v>Non-Incentive</v>
      </c>
      <c r="L123" s="1" t="str">
        <f t="shared" si="3"/>
        <v>TUG</v>
      </c>
      <c r="M123" s="1">
        <f t="shared" si="4"/>
        <v>3</v>
      </c>
      <c r="N123" s="1">
        <f t="shared" si="5"/>
        <v>2017</v>
      </c>
    </row>
    <row r="124" ht="15.75" customHeight="1">
      <c r="A124" s="1" t="s">
        <v>14</v>
      </c>
      <c r="B124" s="1">
        <v>1729499.0</v>
      </c>
      <c r="C124" s="1" t="s">
        <v>1621</v>
      </c>
      <c r="D124" s="1" t="s">
        <v>1629</v>
      </c>
      <c r="E124" s="1" t="s">
        <v>1630</v>
      </c>
      <c r="F124" s="1" t="s">
        <v>1631</v>
      </c>
      <c r="G124" s="1" t="s">
        <v>19</v>
      </c>
      <c r="H124" s="1" t="s">
        <v>1632</v>
      </c>
      <c r="I124" s="1" t="s">
        <v>1633</v>
      </c>
      <c r="J124" s="1" t="str">
        <f t="shared" si="1"/>
        <v>Non-Compliant</v>
      </c>
      <c r="K124" s="1" t="str">
        <f t="shared" si="2"/>
        <v>Non-Incentive</v>
      </c>
      <c r="L124" s="1" t="str">
        <f t="shared" si="3"/>
        <v>TUG</v>
      </c>
      <c r="M124" s="1">
        <f t="shared" si="4"/>
        <v>3</v>
      </c>
      <c r="N124" s="1">
        <f t="shared" si="5"/>
        <v>2017</v>
      </c>
    </row>
    <row r="125" ht="15.75" customHeight="1">
      <c r="A125" s="1" t="s">
        <v>14</v>
      </c>
      <c r="B125" s="1">
        <v>1752198.0</v>
      </c>
      <c r="C125" s="1" t="s">
        <v>1634</v>
      </c>
      <c r="D125" s="1" t="s">
        <v>1635</v>
      </c>
      <c r="E125" s="1" t="s">
        <v>1603</v>
      </c>
      <c r="F125" s="1" t="s">
        <v>1636</v>
      </c>
      <c r="G125" s="1" t="s">
        <v>19</v>
      </c>
      <c r="H125" s="1" t="s">
        <v>1637</v>
      </c>
      <c r="I125" s="1" t="s">
        <v>1638</v>
      </c>
      <c r="J125" s="1" t="str">
        <f t="shared" si="1"/>
        <v>Non-Compliant</v>
      </c>
      <c r="K125" s="1" t="str">
        <f t="shared" si="2"/>
        <v>Non-Incentive</v>
      </c>
      <c r="L125" s="1" t="str">
        <f t="shared" si="3"/>
        <v>TUG</v>
      </c>
      <c r="M125" s="1">
        <f t="shared" si="4"/>
        <v>3</v>
      </c>
      <c r="N125" s="1">
        <f t="shared" si="5"/>
        <v>2017</v>
      </c>
    </row>
    <row r="126" ht="15.75" customHeight="1">
      <c r="A126" s="1" t="s">
        <v>14</v>
      </c>
      <c r="B126" s="1">
        <v>1773410.0</v>
      </c>
      <c r="C126" s="1" t="s">
        <v>1639</v>
      </c>
      <c r="D126" s="1" t="s">
        <v>1640</v>
      </c>
      <c r="E126" s="1" t="s">
        <v>1641</v>
      </c>
      <c r="F126" s="1" t="s">
        <v>1642</v>
      </c>
      <c r="G126" s="1" t="s">
        <v>37</v>
      </c>
      <c r="H126" s="1" t="s">
        <v>1643</v>
      </c>
      <c r="I126" s="1" t="s">
        <v>1644</v>
      </c>
      <c r="J126" s="1" t="str">
        <f t="shared" si="1"/>
        <v>Non-Compliant</v>
      </c>
      <c r="K126" s="1" t="str">
        <f t="shared" si="2"/>
        <v>Non-Incentive</v>
      </c>
      <c r="L126" s="1" t="str">
        <f t="shared" si="3"/>
        <v>TUG</v>
      </c>
      <c r="M126" s="1">
        <f t="shared" si="4"/>
        <v>3</v>
      </c>
      <c r="N126" s="1">
        <f t="shared" si="5"/>
        <v>2017</v>
      </c>
    </row>
    <row r="127" ht="15.75" customHeight="1">
      <c r="A127" s="1" t="s">
        <v>14</v>
      </c>
      <c r="B127" s="1">
        <v>1808535.0</v>
      </c>
      <c r="C127" s="1" t="s">
        <v>1663</v>
      </c>
      <c r="D127" s="1" t="s">
        <v>1664</v>
      </c>
      <c r="E127" s="1" t="s">
        <v>1665</v>
      </c>
      <c r="F127" s="1" t="s">
        <v>1666</v>
      </c>
      <c r="G127" s="1" t="s">
        <v>37</v>
      </c>
      <c r="H127" s="1" t="s">
        <v>1667</v>
      </c>
      <c r="I127" s="1" t="s">
        <v>1644</v>
      </c>
      <c r="J127" s="1" t="str">
        <f t="shared" si="1"/>
        <v>Non-Compliant</v>
      </c>
      <c r="K127" s="1" t="str">
        <f t="shared" si="2"/>
        <v>Non-Incentive</v>
      </c>
      <c r="L127" s="1" t="str">
        <f t="shared" si="3"/>
        <v>TUG</v>
      </c>
      <c r="M127" s="1">
        <f t="shared" si="4"/>
        <v>3</v>
      </c>
      <c r="N127" s="1">
        <f t="shared" si="5"/>
        <v>2017</v>
      </c>
    </row>
    <row r="128" ht="15.75" customHeight="1">
      <c r="A128" s="1" t="s">
        <v>14</v>
      </c>
      <c r="B128" s="1">
        <v>1900474.0</v>
      </c>
      <c r="C128" s="1" t="s">
        <v>1710</v>
      </c>
      <c r="D128" s="1" t="s">
        <v>1714</v>
      </c>
      <c r="E128" s="1" t="s">
        <v>1715</v>
      </c>
      <c r="F128" s="1" t="s">
        <v>1716</v>
      </c>
      <c r="G128" s="1" t="s">
        <v>19</v>
      </c>
      <c r="H128" s="1" t="s">
        <v>1717</v>
      </c>
      <c r="I128" s="1" t="s">
        <v>1718</v>
      </c>
      <c r="J128" s="1" t="str">
        <f t="shared" si="1"/>
        <v>Non-Compliant</v>
      </c>
      <c r="K128" s="1" t="str">
        <f t="shared" si="2"/>
        <v>Non-Incentive</v>
      </c>
      <c r="L128" s="1" t="str">
        <f t="shared" si="3"/>
        <v>TUG</v>
      </c>
      <c r="M128" s="1">
        <f t="shared" si="4"/>
        <v>3</v>
      </c>
      <c r="N128" s="1">
        <f t="shared" si="5"/>
        <v>2017</v>
      </c>
    </row>
    <row r="129" ht="15.75" customHeight="1">
      <c r="A129" s="1" t="s">
        <v>14</v>
      </c>
      <c r="B129" s="1">
        <v>1838515.0</v>
      </c>
      <c r="C129" s="1" t="s">
        <v>1683</v>
      </c>
      <c r="D129" s="1" t="s">
        <v>1684</v>
      </c>
      <c r="E129" s="1" t="s">
        <v>1685</v>
      </c>
      <c r="F129" s="1" t="s">
        <v>1686</v>
      </c>
      <c r="G129" s="1" t="s">
        <v>37</v>
      </c>
      <c r="H129" s="1" t="s">
        <v>1687</v>
      </c>
      <c r="I129" s="1" t="s">
        <v>1688</v>
      </c>
      <c r="J129" s="1" t="str">
        <f t="shared" si="1"/>
        <v>Non-Compliant</v>
      </c>
      <c r="K129" s="1" t="str">
        <f t="shared" si="2"/>
        <v>Non-Incentive</v>
      </c>
      <c r="L129" s="1" t="str">
        <f t="shared" si="3"/>
        <v>TUG</v>
      </c>
      <c r="M129" s="1">
        <f t="shared" si="4"/>
        <v>3</v>
      </c>
      <c r="N129" s="1">
        <f t="shared" si="5"/>
        <v>2017</v>
      </c>
    </row>
    <row r="130" ht="15.75" customHeight="1">
      <c r="A130" s="1" t="s">
        <v>14</v>
      </c>
      <c r="B130" s="1">
        <v>1811286.0</v>
      </c>
      <c r="C130" s="1" t="s">
        <v>1663</v>
      </c>
      <c r="D130" s="1" t="s">
        <v>1672</v>
      </c>
      <c r="E130" s="1" t="s">
        <v>1673</v>
      </c>
      <c r="F130" s="1" t="s">
        <v>1674</v>
      </c>
      <c r="G130" s="1" t="s">
        <v>19</v>
      </c>
      <c r="H130" s="1" t="s">
        <v>1675</v>
      </c>
      <c r="I130" s="1" t="s">
        <v>1676</v>
      </c>
      <c r="J130" s="1" t="str">
        <f t="shared" si="1"/>
        <v>Non-Compliant</v>
      </c>
      <c r="K130" s="1" t="str">
        <f t="shared" si="2"/>
        <v>Non-Incentive</v>
      </c>
      <c r="L130" s="1" t="str">
        <f t="shared" si="3"/>
        <v>TUG</v>
      </c>
      <c r="M130" s="1">
        <f t="shared" si="4"/>
        <v>3</v>
      </c>
      <c r="N130" s="1">
        <f t="shared" si="5"/>
        <v>2017</v>
      </c>
    </row>
    <row r="131" ht="15.75" customHeight="1">
      <c r="A131" s="1" t="s">
        <v>14</v>
      </c>
      <c r="B131" s="1">
        <v>1899578.0</v>
      </c>
      <c r="C131" s="1" t="s">
        <v>1710</v>
      </c>
      <c r="D131" s="1" t="s">
        <v>1711</v>
      </c>
      <c r="E131" s="1" t="s">
        <v>1712</v>
      </c>
      <c r="F131" s="1" t="s">
        <v>1674</v>
      </c>
      <c r="G131" s="1" t="s">
        <v>37</v>
      </c>
      <c r="H131" s="1" t="s">
        <v>1713</v>
      </c>
      <c r="I131" s="1" t="s">
        <v>1676</v>
      </c>
      <c r="J131" s="1" t="str">
        <f t="shared" si="1"/>
        <v>Non-Compliant</v>
      </c>
      <c r="K131" s="1" t="str">
        <f t="shared" si="2"/>
        <v>Non-Incentive</v>
      </c>
      <c r="L131" s="1" t="str">
        <f t="shared" si="3"/>
        <v>TUG</v>
      </c>
      <c r="M131" s="1">
        <f t="shared" si="4"/>
        <v>3</v>
      </c>
      <c r="N131" s="1">
        <f t="shared" si="5"/>
        <v>2017</v>
      </c>
    </row>
    <row r="132" ht="15.75" customHeight="1">
      <c r="A132" s="1" t="s">
        <v>14</v>
      </c>
      <c r="B132" s="1">
        <v>8687607.0</v>
      </c>
      <c r="C132" s="1" t="s">
        <v>747</v>
      </c>
      <c r="D132" s="1" t="s">
        <v>748</v>
      </c>
      <c r="E132" s="1" t="s">
        <v>749</v>
      </c>
      <c r="F132" s="1" t="s">
        <v>750</v>
      </c>
      <c r="G132" s="1" t="s">
        <v>19</v>
      </c>
      <c r="H132" s="1" t="s">
        <v>751</v>
      </c>
      <c r="I132" s="1" t="s">
        <v>752</v>
      </c>
      <c r="J132" s="1" t="str">
        <f t="shared" si="1"/>
        <v>Non-Compliant</v>
      </c>
      <c r="K132" s="1" t="str">
        <f t="shared" si="2"/>
        <v>Non-Incentive</v>
      </c>
      <c r="L132" s="1" t="str">
        <f t="shared" si="3"/>
        <v>TUG</v>
      </c>
      <c r="M132" s="1">
        <f t="shared" si="4"/>
        <v>3</v>
      </c>
      <c r="N132" s="1">
        <f t="shared" si="5"/>
        <v>2017</v>
      </c>
    </row>
    <row r="133" ht="15.75" customHeight="1">
      <c r="A133" s="1" t="s">
        <v>14</v>
      </c>
      <c r="B133" s="1">
        <v>9738912.0</v>
      </c>
      <c r="C133" s="1" t="s">
        <v>1174</v>
      </c>
      <c r="D133" s="1" t="s">
        <v>1179</v>
      </c>
      <c r="E133" s="1" t="s">
        <v>1180</v>
      </c>
      <c r="F133" s="1" t="s">
        <v>1181</v>
      </c>
      <c r="G133" s="1" t="s">
        <v>19</v>
      </c>
      <c r="H133" s="1" t="s">
        <v>1182</v>
      </c>
      <c r="I133" s="1" t="s">
        <v>1183</v>
      </c>
      <c r="J133" s="1" t="str">
        <f t="shared" si="1"/>
        <v>Non-Compliant</v>
      </c>
      <c r="K133" s="1" t="str">
        <f t="shared" si="2"/>
        <v>Non-Incentive</v>
      </c>
      <c r="L133" s="1" t="str">
        <f t="shared" si="3"/>
        <v>TUG</v>
      </c>
      <c r="M133" s="1">
        <f t="shared" si="4"/>
        <v>3</v>
      </c>
      <c r="N133" s="1">
        <f t="shared" si="5"/>
        <v>2017</v>
      </c>
    </row>
    <row r="134" ht="15.75" customHeight="1">
      <c r="A134" s="1" t="s">
        <v>14</v>
      </c>
      <c r="B134" s="1">
        <v>7800720.0</v>
      </c>
      <c r="C134" s="1" t="s">
        <v>159</v>
      </c>
      <c r="D134" s="1" t="s">
        <v>178</v>
      </c>
      <c r="E134" s="1" t="s">
        <v>175</v>
      </c>
      <c r="F134" s="1" t="s">
        <v>179</v>
      </c>
      <c r="G134" s="1" t="s">
        <v>19</v>
      </c>
      <c r="H134" s="1" t="s">
        <v>180</v>
      </c>
      <c r="I134" s="1" t="s">
        <v>181</v>
      </c>
      <c r="J134" s="1" t="str">
        <f t="shared" si="1"/>
        <v>Non-Compliant</v>
      </c>
      <c r="K134" s="1" t="str">
        <f t="shared" si="2"/>
        <v>Non-Incentive</v>
      </c>
      <c r="L134" s="1" t="str">
        <f t="shared" si="3"/>
        <v>TUG</v>
      </c>
      <c r="M134" s="1">
        <f t="shared" si="4"/>
        <v>3</v>
      </c>
      <c r="N134" s="1">
        <f t="shared" si="5"/>
        <v>2017</v>
      </c>
    </row>
    <row r="135" ht="15.75" customHeight="1">
      <c r="A135" s="1" t="s">
        <v>14</v>
      </c>
      <c r="B135" s="1">
        <v>1523411.0</v>
      </c>
      <c r="C135" s="1" t="s">
        <v>1505</v>
      </c>
      <c r="D135" s="1" t="s">
        <v>1518</v>
      </c>
      <c r="E135" s="1" t="s">
        <v>1519</v>
      </c>
      <c r="F135" s="1" t="s">
        <v>1520</v>
      </c>
      <c r="G135" s="1" t="s">
        <v>19</v>
      </c>
      <c r="H135" s="1" t="s">
        <v>1521</v>
      </c>
      <c r="I135" s="1" t="s">
        <v>250</v>
      </c>
      <c r="J135" s="1" t="str">
        <f t="shared" si="1"/>
        <v>Non-Compliant</v>
      </c>
      <c r="K135" s="1" t="str">
        <f t="shared" si="2"/>
        <v>Non-Incentive</v>
      </c>
      <c r="L135" s="1" t="str">
        <f t="shared" si="3"/>
        <v>TUG</v>
      </c>
      <c r="M135" s="1">
        <f t="shared" si="4"/>
        <v>3</v>
      </c>
      <c r="N135" s="1">
        <f t="shared" si="5"/>
        <v>2017</v>
      </c>
    </row>
    <row r="136" ht="15.75" customHeight="1">
      <c r="A136" s="1" t="s">
        <v>14</v>
      </c>
      <c r="B136" s="1">
        <v>7924066.0</v>
      </c>
      <c r="C136" s="1" t="s">
        <v>245</v>
      </c>
      <c r="D136" s="1" t="s">
        <v>246</v>
      </c>
      <c r="E136" s="1" t="s">
        <v>247</v>
      </c>
      <c r="F136" s="1" t="s">
        <v>248</v>
      </c>
      <c r="G136" s="1" t="s">
        <v>19</v>
      </c>
      <c r="H136" s="1" t="s">
        <v>249</v>
      </c>
      <c r="I136" s="1" t="s">
        <v>250</v>
      </c>
      <c r="J136" s="1" t="str">
        <f t="shared" si="1"/>
        <v>Non-Compliant</v>
      </c>
      <c r="K136" s="1" t="str">
        <f t="shared" si="2"/>
        <v>Non-Incentive</v>
      </c>
      <c r="L136" s="1" t="str">
        <f t="shared" si="3"/>
        <v>TUG</v>
      </c>
      <c r="M136" s="1">
        <f t="shared" si="4"/>
        <v>3</v>
      </c>
      <c r="N136" s="1">
        <f t="shared" si="5"/>
        <v>2017</v>
      </c>
    </row>
    <row r="137" ht="15.75" customHeight="1">
      <c r="A137" s="1" t="s">
        <v>14</v>
      </c>
      <c r="B137" s="1">
        <v>8091385.0</v>
      </c>
      <c r="C137" s="1" t="s">
        <v>340</v>
      </c>
      <c r="D137" s="1" t="s">
        <v>349</v>
      </c>
      <c r="E137" s="1" t="s">
        <v>313</v>
      </c>
      <c r="F137" s="1" t="s">
        <v>350</v>
      </c>
      <c r="G137" s="1" t="s">
        <v>19</v>
      </c>
      <c r="H137" s="1" t="s">
        <v>351</v>
      </c>
      <c r="I137" s="1" t="s">
        <v>250</v>
      </c>
      <c r="J137" s="1" t="str">
        <f t="shared" si="1"/>
        <v>Non-Compliant</v>
      </c>
      <c r="K137" s="1" t="str">
        <f t="shared" si="2"/>
        <v>Non-Incentive</v>
      </c>
      <c r="L137" s="1" t="str">
        <f t="shared" si="3"/>
        <v>TUG</v>
      </c>
      <c r="M137" s="1">
        <f t="shared" si="4"/>
        <v>3</v>
      </c>
      <c r="N137" s="1">
        <f t="shared" si="5"/>
        <v>2017</v>
      </c>
    </row>
    <row r="138" ht="15.75" customHeight="1">
      <c r="A138" s="1" t="s">
        <v>14</v>
      </c>
      <c r="B138" s="1">
        <v>8375057.0</v>
      </c>
      <c r="C138" s="1" t="s">
        <v>538</v>
      </c>
      <c r="D138" s="1" t="s">
        <v>550</v>
      </c>
      <c r="E138" s="1" t="s">
        <v>551</v>
      </c>
      <c r="F138" s="1" t="s">
        <v>552</v>
      </c>
      <c r="G138" s="1" t="s">
        <v>19</v>
      </c>
      <c r="H138" s="1" t="s">
        <v>553</v>
      </c>
      <c r="I138" s="1" t="s">
        <v>250</v>
      </c>
      <c r="J138" s="1" t="str">
        <f t="shared" si="1"/>
        <v>Non-Compliant</v>
      </c>
      <c r="K138" s="1" t="str">
        <f t="shared" si="2"/>
        <v>Non-Incentive</v>
      </c>
      <c r="L138" s="1" t="str">
        <f t="shared" si="3"/>
        <v>TUG</v>
      </c>
      <c r="M138" s="1">
        <f t="shared" si="4"/>
        <v>3</v>
      </c>
      <c r="N138" s="1">
        <f t="shared" si="5"/>
        <v>2017</v>
      </c>
    </row>
    <row r="139" ht="15.75" customHeight="1">
      <c r="A139" s="1" t="s">
        <v>14</v>
      </c>
      <c r="B139" s="1">
        <v>8502112.0</v>
      </c>
      <c r="C139" s="1" t="s">
        <v>639</v>
      </c>
      <c r="D139" s="1" t="s">
        <v>640</v>
      </c>
      <c r="E139" s="1" t="s">
        <v>641</v>
      </c>
      <c r="F139" s="1" t="s">
        <v>642</v>
      </c>
      <c r="G139" s="1" t="s">
        <v>19</v>
      </c>
      <c r="H139" s="1" t="s">
        <v>643</v>
      </c>
      <c r="I139" s="1" t="s">
        <v>250</v>
      </c>
      <c r="J139" s="1" t="str">
        <f t="shared" si="1"/>
        <v>Non-Compliant</v>
      </c>
      <c r="K139" s="1" t="str">
        <f t="shared" si="2"/>
        <v>Non-Incentive</v>
      </c>
      <c r="L139" s="1" t="str">
        <f t="shared" si="3"/>
        <v>TUG</v>
      </c>
      <c r="M139" s="1">
        <f t="shared" si="4"/>
        <v>3</v>
      </c>
      <c r="N139" s="1">
        <f t="shared" si="5"/>
        <v>2017</v>
      </c>
    </row>
    <row r="140" ht="15.75" customHeight="1">
      <c r="A140" s="1" t="s">
        <v>14</v>
      </c>
      <c r="B140" s="1">
        <v>8697591.0</v>
      </c>
      <c r="C140" s="1" t="s">
        <v>753</v>
      </c>
      <c r="D140" s="1" t="s">
        <v>754</v>
      </c>
      <c r="E140" s="1" t="s">
        <v>755</v>
      </c>
      <c r="F140" s="1" t="s">
        <v>756</v>
      </c>
      <c r="G140" s="1" t="s">
        <v>37</v>
      </c>
      <c r="H140" s="1" t="s">
        <v>757</v>
      </c>
      <c r="I140" s="1" t="s">
        <v>250</v>
      </c>
      <c r="J140" s="1" t="str">
        <f t="shared" si="1"/>
        <v>Non-Compliant</v>
      </c>
      <c r="K140" s="1" t="str">
        <f t="shared" si="2"/>
        <v>Non-Incentive</v>
      </c>
      <c r="L140" s="1" t="str">
        <f t="shared" si="3"/>
        <v>TUG</v>
      </c>
      <c r="M140" s="1">
        <f t="shared" si="4"/>
        <v>3</v>
      </c>
      <c r="N140" s="1">
        <f t="shared" si="5"/>
        <v>2017</v>
      </c>
    </row>
    <row r="141" ht="15.75" customHeight="1">
      <c r="A141" s="1" t="s">
        <v>14</v>
      </c>
      <c r="B141" s="1">
        <v>8783035.0</v>
      </c>
      <c r="C141" s="1" t="s">
        <v>790</v>
      </c>
      <c r="D141" s="1" t="s">
        <v>796</v>
      </c>
      <c r="E141" s="1" t="s">
        <v>797</v>
      </c>
      <c r="F141" s="1" t="s">
        <v>798</v>
      </c>
      <c r="G141" s="1" t="s">
        <v>19</v>
      </c>
      <c r="H141" s="1" t="s">
        <v>799</v>
      </c>
      <c r="I141" s="1" t="s">
        <v>250</v>
      </c>
      <c r="J141" s="1" t="str">
        <f t="shared" si="1"/>
        <v>Non-Compliant</v>
      </c>
      <c r="K141" s="1" t="str">
        <f t="shared" si="2"/>
        <v>Non-Incentive</v>
      </c>
      <c r="L141" s="1" t="str">
        <f t="shared" si="3"/>
        <v>TUG</v>
      </c>
      <c r="M141" s="1">
        <f t="shared" si="4"/>
        <v>3</v>
      </c>
      <c r="N141" s="1">
        <f t="shared" si="5"/>
        <v>2017</v>
      </c>
    </row>
    <row r="142" ht="15.75" customHeight="1">
      <c r="A142" s="1" t="s">
        <v>14</v>
      </c>
      <c r="B142" s="1">
        <v>9425848.0</v>
      </c>
      <c r="C142" s="1" t="s">
        <v>1055</v>
      </c>
      <c r="D142" s="1" t="s">
        <v>1056</v>
      </c>
      <c r="E142" s="1" t="s">
        <v>1057</v>
      </c>
      <c r="F142" s="1" t="s">
        <v>1058</v>
      </c>
      <c r="G142" s="1" t="s">
        <v>1059</v>
      </c>
      <c r="H142" s="1" t="s">
        <v>1060</v>
      </c>
      <c r="I142" s="1" t="s">
        <v>250</v>
      </c>
      <c r="J142" s="1" t="str">
        <f t="shared" si="1"/>
        <v>Non-Compliant</v>
      </c>
      <c r="K142" s="1" t="str">
        <f t="shared" si="2"/>
        <v>Non-Incentive</v>
      </c>
      <c r="L142" s="1" t="str">
        <f t="shared" si="3"/>
        <v>TUG</v>
      </c>
      <c r="M142" s="1">
        <f t="shared" si="4"/>
        <v>3</v>
      </c>
      <c r="N142" s="1">
        <f t="shared" si="5"/>
        <v>2017</v>
      </c>
    </row>
    <row r="143" ht="15.75" customHeight="1">
      <c r="A143" s="1" t="s">
        <v>14</v>
      </c>
      <c r="B143" s="1">
        <v>7641404.0</v>
      </c>
      <c r="C143" s="1" t="s">
        <v>44</v>
      </c>
      <c r="D143" s="1" t="s">
        <v>59</v>
      </c>
      <c r="E143" s="1" t="s">
        <v>55</v>
      </c>
      <c r="F143" s="1" t="s">
        <v>60</v>
      </c>
      <c r="G143" s="1" t="s">
        <v>19</v>
      </c>
      <c r="H143" s="1" t="s">
        <v>61</v>
      </c>
      <c r="I143" s="1" t="s">
        <v>62</v>
      </c>
      <c r="J143" s="1" t="str">
        <f t="shared" si="1"/>
        <v>Non-Compliant</v>
      </c>
      <c r="K143" s="1" t="str">
        <f t="shared" si="2"/>
        <v>Non-Incentive</v>
      </c>
      <c r="L143" s="1" t="str">
        <f t="shared" si="3"/>
        <v>TUG</v>
      </c>
      <c r="M143" s="1">
        <f t="shared" si="4"/>
        <v>3</v>
      </c>
      <c r="N143" s="1">
        <f t="shared" si="5"/>
        <v>2017</v>
      </c>
    </row>
    <row r="144" ht="15.75" customHeight="1">
      <c r="A144" s="1" t="s">
        <v>14</v>
      </c>
      <c r="B144" s="1">
        <v>7641415.0</v>
      </c>
      <c r="C144" s="1" t="s">
        <v>44</v>
      </c>
      <c r="D144" s="1" t="s">
        <v>63</v>
      </c>
      <c r="E144" s="1" t="s">
        <v>55</v>
      </c>
      <c r="F144" s="1" t="s">
        <v>60</v>
      </c>
      <c r="G144" s="1" t="s">
        <v>19</v>
      </c>
      <c r="H144" s="1" t="s">
        <v>64</v>
      </c>
      <c r="I144" s="1" t="s">
        <v>62</v>
      </c>
      <c r="J144" s="1" t="str">
        <f t="shared" si="1"/>
        <v>Non-Compliant</v>
      </c>
      <c r="K144" s="1" t="str">
        <f t="shared" si="2"/>
        <v>Non-Incentive</v>
      </c>
      <c r="L144" s="1" t="str">
        <f t="shared" si="3"/>
        <v>TUG</v>
      </c>
      <c r="M144" s="1">
        <f t="shared" si="4"/>
        <v>3</v>
      </c>
      <c r="N144" s="1">
        <f t="shared" si="5"/>
        <v>2017</v>
      </c>
    </row>
    <row r="145" ht="15.75" customHeight="1">
      <c r="A145" s="1" t="s">
        <v>14</v>
      </c>
      <c r="B145" s="1">
        <v>7642279.0</v>
      </c>
      <c r="C145" s="1" t="s">
        <v>44</v>
      </c>
      <c r="D145" s="1" t="s">
        <v>65</v>
      </c>
      <c r="E145" s="1" t="s">
        <v>55</v>
      </c>
      <c r="F145" s="1" t="s">
        <v>66</v>
      </c>
      <c r="G145" s="1" t="s">
        <v>19</v>
      </c>
      <c r="H145" s="1" t="s">
        <v>67</v>
      </c>
      <c r="I145" s="1" t="s">
        <v>62</v>
      </c>
      <c r="J145" s="1" t="str">
        <f t="shared" si="1"/>
        <v>Non-Compliant</v>
      </c>
      <c r="K145" s="1" t="str">
        <f t="shared" si="2"/>
        <v>Non-Incentive</v>
      </c>
      <c r="L145" s="1" t="str">
        <f t="shared" si="3"/>
        <v>TUG</v>
      </c>
      <c r="M145" s="1">
        <f t="shared" si="4"/>
        <v>3</v>
      </c>
      <c r="N145" s="1">
        <f t="shared" si="5"/>
        <v>2017</v>
      </c>
    </row>
    <row r="146" ht="15.75" customHeight="1">
      <c r="A146" s="1" t="s">
        <v>14</v>
      </c>
      <c r="B146" s="1">
        <v>7616933.0</v>
      </c>
      <c r="C146" s="1" t="s">
        <v>33</v>
      </c>
      <c r="D146" s="1" t="s">
        <v>39</v>
      </c>
      <c r="E146" s="1" t="s">
        <v>40</v>
      </c>
      <c r="F146" s="1" t="s">
        <v>41</v>
      </c>
      <c r="G146" s="1" t="s">
        <v>19</v>
      </c>
      <c r="H146" s="1" t="s">
        <v>42</v>
      </c>
      <c r="I146" s="1" t="s">
        <v>43</v>
      </c>
      <c r="J146" s="1" t="str">
        <f t="shared" si="1"/>
        <v>Non-Compliant</v>
      </c>
      <c r="K146" s="1" t="str">
        <f t="shared" si="2"/>
        <v>Non-Incentive</v>
      </c>
      <c r="L146" s="1" t="str">
        <f t="shared" si="3"/>
        <v>TUG</v>
      </c>
      <c r="M146" s="1">
        <f t="shared" si="4"/>
        <v>3</v>
      </c>
      <c r="N146" s="1">
        <f t="shared" si="5"/>
        <v>2017</v>
      </c>
    </row>
    <row r="147" ht="15.75" customHeight="1">
      <c r="A147" s="1" t="s">
        <v>14</v>
      </c>
      <c r="B147" s="1">
        <v>7646561.0</v>
      </c>
      <c r="C147" s="1" t="s">
        <v>68</v>
      </c>
      <c r="D147" s="1" t="s">
        <v>69</v>
      </c>
      <c r="E147" s="1" t="s">
        <v>70</v>
      </c>
      <c r="F147" s="1" t="s">
        <v>71</v>
      </c>
      <c r="G147" s="1" t="s">
        <v>19</v>
      </c>
      <c r="H147" s="1" t="s">
        <v>72</v>
      </c>
      <c r="I147" s="1" t="s">
        <v>43</v>
      </c>
      <c r="J147" s="1" t="str">
        <f t="shared" si="1"/>
        <v>Non-Compliant</v>
      </c>
      <c r="K147" s="1" t="str">
        <f t="shared" si="2"/>
        <v>Non-Incentive</v>
      </c>
      <c r="L147" s="1" t="str">
        <f t="shared" si="3"/>
        <v>TUG</v>
      </c>
      <c r="M147" s="1">
        <f t="shared" si="4"/>
        <v>3</v>
      </c>
      <c r="N147" s="1">
        <f t="shared" si="5"/>
        <v>2017</v>
      </c>
    </row>
    <row r="148" ht="15.75" customHeight="1">
      <c r="A148" s="1" t="s">
        <v>14</v>
      </c>
      <c r="B148" s="1">
        <v>7649257.0</v>
      </c>
      <c r="C148" s="1" t="s">
        <v>68</v>
      </c>
      <c r="D148" s="1" t="s">
        <v>73</v>
      </c>
      <c r="E148" s="1" t="s">
        <v>74</v>
      </c>
      <c r="F148" s="1" t="s">
        <v>75</v>
      </c>
      <c r="G148" s="1" t="s">
        <v>19</v>
      </c>
      <c r="H148" s="1" t="s">
        <v>76</v>
      </c>
      <c r="I148" s="1" t="s">
        <v>43</v>
      </c>
      <c r="J148" s="1" t="str">
        <f t="shared" si="1"/>
        <v>Non-Compliant</v>
      </c>
      <c r="K148" s="1" t="str">
        <f t="shared" si="2"/>
        <v>Non-Incentive</v>
      </c>
      <c r="L148" s="1" t="str">
        <f t="shared" si="3"/>
        <v>TUG</v>
      </c>
      <c r="M148" s="1">
        <f t="shared" si="4"/>
        <v>3</v>
      </c>
      <c r="N148" s="1">
        <f t="shared" si="5"/>
        <v>2017</v>
      </c>
    </row>
    <row r="149" ht="15.75" customHeight="1">
      <c r="A149" s="1" t="s">
        <v>14</v>
      </c>
      <c r="B149" s="1">
        <v>7690771.0</v>
      </c>
      <c r="C149" s="1" t="s">
        <v>82</v>
      </c>
      <c r="D149" s="1" t="s">
        <v>83</v>
      </c>
      <c r="E149" s="1" t="s">
        <v>84</v>
      </c>
      <c r="F149" s="1" t="s">
        <v>85</v>
      </c>
      <c r="G149" s="1" t="s">
        <v>19</v>
      </c>
      <c r="H149" s="1" t="s">
        <v>86</v>
      </c>
      <c r="I149" s="1" t="s">
        <v>87</v>
      </c>
      <c r="J149" s="1" t="str">
        <f t="shared" si="1"/>
        <v>Non-Compliant</v>
      </c>
      <c r="K149" s="1" t="str">
        <f t="shared" si="2"/>
        <v>Non-Incentive</v>
      </c>
      <c r="L149" s="1" t="str">
        <f t="shared" si="3"/>
        <v>TUG</v>
      </c>
      <c r="M149" s="1">
        <f t="shared" si="4"/>
        <v>3</v>
      </c>
      <c r="N149" s="1">
        <f t="shared" si="5"/>
        <v>2017</v>
      </c>
    </row>
    <row r="150" ht="15.75" customHeight="1">
      <c r="A150" s="1" t="s">
        <v>14</v>
      </c>
      <c r="B150" s="1">
        <v>7804407.0</v>
      </c>
      <c r="C150" s="1" t="s">
        <v>159</v>
      </c>
      <c r="D150" s="1" t="s">
        <v>182</v>
      </c>
      <c r="E150" s="1" t="s">
        <v>183</v>
      </c>
      <c r="F150" s="1" t="s">
        <v>184</v>
      </c>
      <c r="G150" s="1" t="s">
        <v>37</v>
      </c>
      <c r="H150" s="1" t="s">
        <v>185</v>
      </c>
      <c r="I150" s="1" t="s">
        <v>186</v>
      </c>
      <c r="J150" s="1" t="str">
        <f t="shared" si="1"/>
        <v>Non-Compliant</v>
      </c>
      <c r="K150" s="1" t="str">
        <f t="shared" si="2"/>
        <v>Non-Incentive</v>
      </c>
      <c r="L150" s="1" t="str">
        <f t="shared" si="3"/>
        <v>TUG</v>
      </c>
      <c r="M150" s="1">
        <f t="shared" si="4"/>
        <v>3</v>
      </c>
      <c r="N150" s="1">
        <f t="shared" si="5"/>
        <v>2017</v>
      </c>
    </row>
    <row r="151" ht="15.75" customHeight="1">
      <c r="A151" s="1" t="s">
        <v>14</v>
      </c>
      <c r="B151" s="1">
        <v>7692707.0</v>
      </c>
      <c r="C151" s="1" t="s">
        <v>82</v>
      </c>
      <c r="D151" s="1" t="s">
        <v>88</v>
      </c>
      <c r="E151" s="1" t="s">
        <v>89</v>
      </c>
      <c r="F151" s="1" t="s">
        <v>90</v>
      </c>
      <c r="G151" s="1" t="s">
        <v>19</v>
      </c>
      <c r="H151" s="1" t="s">
        <v>91</v>
      </c>
      <c r="I151" s="1" t="s">
        <v>92</v>
      </c>
      <c r="J151" s="1" t="str">
        <f t="shared" si="1"/>
        <v>Non-Compliant</v>
      </c>
      <c r="K151" s="1" t="str">
        <f t="shared" si="2"/>
        <v>Non-Incentive</v>
      </c>
      <c r="L151" s="1" t="str">
        <f t="shared" si="3"/>
        <v>TUG</v>
      </c>
      <c r="M151" s="1">
        <f t="shared" si="4"/>
        <v>3</v>
      </c>
      <c r="N151" s="1">
        <f t="shared" si="5"/>
        <v>2017</v>
      </c>
    </row>
    <row r="152" ht="15.75" customHeight="1">
      <c r="A152" s="1" t="s">
        <v>14</v>
      </c>
      <c r="B152" s="1">
        <v>7782282.0</v>
      </c>
      <c r="C152" s="1" t="s">
        <v>126</v>
      </c>
      <c r="D152" s="1" t="s">
        <v>154</v>
      </c>
      <c r="E152" s="1" t="s">
        <v>155</v>
      </c>
      <c r="F152" s="1" t="s">
        <v>156</v>
      </c>
      <c r="G152" s="1" t="s">
        <v>19</v>
      </c>
      <c r="H152" s="1" t="s">
        <v>157</v>
      </c>
      <c r="I152" s="1" t="s">
        <v>158</v>
      </c>
      <c r="J152" s="1" t="str">
        <f t="shared" si="1"/>
        <v>Non-Compliant</v>
      </c>
      <c r="K152" s="1" t="str">
        <f t="shared" si="2"/>
        <v>Non-Incentive</v>
      </c>
      <c r="L152" s="1" t="str">
        <f t="shared" si="3"/>
        <v>TUG</v>
      </c>
      <c r="M152" s="1">
        <f t="shared" si="4"/>
        <v>3</v>
      </c>
      <c r="N152" s="1">
        <f t="shared" si="5"/>
        <v>2017</v>
      </c>
    </row>
    <row r="153" ht="15.75" customHeight="1">
      <c r="A153" s="1" t="s">
        <v>14</v>
      </c>
      <c r="B153" s="1">
        <v>7662086.0</v>
      </c>
      <c r="C153" s="1" t="s">
        <v>68</v>
      </c>
      <c r="D153" s="1" t="s">
        <v>77</v>
      </c>
      <c r="E153" s="1" t="s">
        <v>78</v>
      </c>
      <c r="F153" s="1" t="s">
        <v>79</v>
      </c>
      <c r="G153" s="1" t="s">
        <v>19</v>
      </c>
      <c r="H153" s="1" t="s">
        <v>80</v>
      </c>
      <c r="I153" s="1" t="s">
        <v>81</v>
      </c>
      <c r="J153" s="1" t="str">
        <f t="shared" si="1"/>
        <v>Non-Compliant</v>
      </c>
      <c r="K153" s="1" t="str">
        <f t="shared" si="2"/>
        <v>Non-Incentive</v>
      </c>
      <c r="L153" s="1" t="str">
        <f t="shared" si="3"/>
        <v>TUG</v>
      </c>
      <c r="M153" s="1">
        <f t="shared" si="4"/>
        <v>3</v>
      </c>
      <c r="N153" s="1">
        <f t="shared" si="5"/>
        <v>2017</v>
      </c>
    </row>
    <row r="154" ht="15.75" customHeight="1">
      <c r="A154" s="1" t="s">
        <v>14</v>
      </c>
      <c r="B154" s="1">
        <v>7764312.0</v>
      </c>
      <c r="C154" s="1" t="s">
        <v>126</v>
      </c>
      <c r="D154" s="1" t="s">
        <v>136</v>
      </c>
      <c r="E154" s="1" t="s">
        <v>137</v>
      </c>
      <c r="F154" s="1" t="s">
        <v>138</v>
      </c>
      <c r="G154" s="1" t="s">
        <v>19</v>
      </c>
      <c r="H154" s="1" t="s">
        <v>139</v>
      </c>
      <c r="I154" s="1" t="s">
        <v>140</v>
      </c>
      <c r="J154" s="1" t="str">
        <f t="shared" si="1"/>
        <v>Non-Compliant</v>
      </c>
      <c r="K154" s="1" t="str">
        <f t="shared" si="2"/>
        <v>Non-Incentive</v>
      </c>
      <c r="L154" s="1" t="str">
        <f t="shared" si="3"/>
        <v>TUG</v>
      </c>
      <c r="M154" s="1">
        <f t="shared" si="4"/>
        <v>3</v>
      </c>
      <c r="N154" s="1">
        <f t="shared" si="5"/>
        <v>2017</v>
      </c>
    </row>
    <row r="155" ht="15.75" customHeight="1">
      <c r="A155" s="1" t="s">
        <v>14</v>
      </c>
      <c r="B155" s="1">
        <v>7764000.0</v>
      </c>
      <c r="C155" s="1" t="s">
        <v>126</v>
      </c>
      <c r="D155" s="1" t="s">
        <v>132</v>
      </c>
      <c r="E155" s="1" t="s">
        <v>114</v>
      </c>
      <c r="F155" s="1" t="s">
        <v>133</v>
      </c>
      <c r="G155" s="1" t="s">
        <v>19</v>
      </c>
      <c r="H155" s="1" t="s">
        <v>134</v>
      </c>
      <c r="I155" s="1" t="s">
        <v>135</v>
      </c>
      <c r="J155" s="1" t="str">
        <f t="shared" si="1"/>
        <v>Non-Compliant</v>
      </c>
      <c r="K155" s="1" t="str">
        <f t="shared" si="2"/>
        <v>Non-Incentive</v>
      </c>
      <c r="L155" s="1" t="str">
        <f t="shared" si="3"/>
        <v>TUG</v>
      </c>
      <c r="M155" s="1">
        <f t="shared" si="4"/>
        <v>3</v>
      </c>
      <c r="N155" s="1">
        <f t="shared" si="5"/>
        <v>2017</v>
      </c>
    </row>
    <row r="156" ht="15.75" customHeight="1">
      <c r="A156" s="1" t="s">
        <v>14</v>
      </c>
      <c r="B156" s="1">
        <v>7747150.0</v>
      </c>
      <c r="C156" s="1" t="s">
        <v>112</v>
      </c>
      <c r="D156" s="1" t="s">
        <v>119</v>
      </c>
      <c r="E156" s="1" t="s">
        <v>95</v>
      </c>
      <c r="F156" s="1" t="s">
        <v>120</v>
      </c>
      <c r="G156" s="1" t="s">
        <v>19</v>
      </c>
      <c r="H156" s="1" t="s">
        <v>121</v>
      </c>
      <c r="I156" s="1" t="s">
        <v>122</v>
      </c>
      <c r="J156" s="1" t="str">
        <f t="shared" si="1"/>
        <v>Non-Compliant</v>
      </c>
      <c r="K156" s="1" t="str">
        <f t="shared" si="2"/>
        <v>Non-Incentive</v>
      </c>
      <c r="L156" s="1" t="str">
        <f t="shared" si="3"/>
        <v>TUG</v>
      </c>
      <c r="M156" s="1">
        <f t="shared" si="4"/>
        <v>3</v>
      </c>
      <c r="N156" s="1">
        <f t="shared" si="5"/>
        <v>2017</v>
      </c>
    </row>
    <row r="157" ht="15.75" customHeight="1">
      <c r="A157" s="1" t="s">
        <v>14</v>
      </c>
      <c r="B157" s="1">
        <v>7796181.0</v>
      </c>
      <c r="C157" s="1" t="s">
        <v>159</v>
      </c>
      <c r="D157" s="1" t="s">
        <v>174</v>
      </c>
      <c r="E157" s="1" t="s">
        <v>175</v>
      </c>
      <c r="F157" s="1" t="s">
        <v>156</v>
      </c>
      <c r="G157" s="1" t="s">
        <v>176</v>
      </c>
      <c r="H157" s="1" t="s">
        <v>177</v>
      </c>
      <c r="I157" s="1" t="s">
        <v>122</v>
      </c>
      <c r="J157" s="1" t="str">
        <f t="shared" si="1"/>
        <v>Non-Compliant</v>
      </c>
      <c r="K157" s="1" t="str">
        <f t="shared" si="2"/>
        <v>Non-Incentive</v>
      </c>
      <c r="L157" s="1" t="str">
        <f t="shared" si="3"/>
        <v>TUG</v>
      </c>
      <c r="M157" s="1">
        <f t="shared" si="4"/>
        <v>3</v>
      </c>
      <c r="N157" s="1">
        <f t="shared" si="5"/>
        <v>2017</v>
      </c>
    </row>
    <row r="158" ht="15.75" customHeight="1">
      <c r="A158" s="1" t="s">
        <v>14</v>
      </c>
      <c r="B158" s="1">
        <v>7903729.0</v>
      </c>
      <c r="C158" s="1" t="s">
        <v>227</v>
      </c>
      <c r="D158" s="1" t="s">
        <v>228</v>
      </c>
      <c r="E158" s="1" t="s">
        <v>229</v>
      </c>
      <c r="F158" s="1" t="s">
        <v>230</v>
      </c>
      <c r="G158" s="1" t="s">
        <v>19</v>
      </c>
      <c r="H158" s="1" t="s">
        <v>231</v>
      </c>
      <c r="I158" s="1" t="s">
        <v>232</v>
      </c>
      <c r="J158" s="1" t="str">
        <f t="shared" si="1"/>
        <v>Non-Compliant</v>
      </c>
      <c r="K158" s="1" t="str">
        <f t="shared" si="2"/>
        <v>Non-Incentive</v>
      </c>
      <c r="L158" s="1" t="str">
        <f t="shared" si="3"/>
        <v>TUG</v>
      </c>
      <c r="M158" s="1">
        <f t="shared" si="4"/>
        <v>3</v>
      </c>
      <c r="N158" s="1">
        <f t="shared" si="5"/>
        <v>2017</v>
      </c>
    </row>
    <row r="159" ht="15.75" customHeight="1">
      <c r="A159" s="1" t="s">
        <v>14</v>
      </c>
      <c r="B159" s="1">
        <v>7794172.0</v>
      </c>
      <c r="C159" s="1" t="s">
        <v>159</v>
      </c>
      <c r="D159" s="1" t="s">
        <v>164</v>
      </c>
      <c r="E159" s="1" t="s">
        <v>165</v>
      </c>
      <c r="F159" s="1" t="s">
        <v>166</v>
      </c>
      <c r="G159" s="1" t="s">
        <v>19</v>
      </c>
      <c r="H159" s="1" t="s">
        <v>167</v>
      </c>
      <c r="I159" s="1" t="s">
        <v>168</v>
      </c>
      <c r="J159" s="1" t="str">
        <f t="shared" si="1"/>
        <v>Non-Compliant</v>
      </c>
      <c r="K159" s="1" t="str">
        <f t="shared" si="2"/>
        <v>Non-Incentive</v>
      </c>
      <c r="L159" s="1" t="str">
        <f t="shared" si="3"/>
        <v>TUG</v>
      </c>
      <c r="M159" s="1">
        <f t="shared" si="4"/>
        <v>3</v>
      </c>
      <c r="N159" s="1">
        <f t="shared" si="5"/>
        <v>2017</v>
      </c>
    </row>
    <row r="160" ht="15.75" customHeight="1">
      <c r="A160" s="1" t="s">
        <v>14</v>
      </c>
      <c r="B160" s="1">
        <v>7984652.0</v>
      </c>
      <c r="C160" s="1" t="s">
        <v>290</v>
      </c>
      <c r="D160" s="1" t="s">
        <v>291</v>
      </c>
      <c r="E160" s="1" t="s">
        <v>292</v>
      </c>
      <c r="F160" s="1" t="s">
        <v>293</v>
      </c>
      <c r="G160" s="1" t="s">
        <v>19</v>
      </c>
      <c r="H160" s="1" t="s">
        <v>294</v>
      </c>
      <c r="I160" s="1" t="s">
        <v>295</v>
      </c>
      <c r="J160" s="1" t="str">
        <f t="shared" si="1"/>
        <v>Non-Compliant</v>
      </c>
      <c r="K160" s="1" t="str">
        <f t="shared" si="2"/>
        <v>Non-Incentive</v>
      </c>
      <c r="L160" s="1" t="str">
        <f t="shared" si="3"/>
        <v>TUG</v>
      </c>
      <c r="M160" s="1">
        <f t="shared" si="4"/>
        <v>3</v>
      </c>
      <c r="N160" s="1">
        <f t="shared" si="5"/>
        <v>2017</v>
      </c>
    </row>
    <row r="161" ht="15.75" customHeight="1">
      <c r="A161" s="1" t="s">
        <v>14</v>
      </c>
      <c r="B161" s="1">
        <v>7718281.0</v>
      </c>
      <c r="C161" s="1" t="s">
        <v>93</v>
      </c>
      <c r="D161" s="1" t="s">
        <v>102</v>
      </c>
      <c r="E161" s="1" t="s">
        <v>103</v>
      </c>
      <c r="F161" s="1" t="s">
        <v>104</v>
      </c>
      <c r="G161" s="1" t="s">
        <v>19</v>
      </c>
      <c r="H161" s="1" t="s">
        <v>105</v>
      </c>
      <c r="I161" s="1" t="s">
        <v>106</v>
      </c>
      <c r="J161" s="1" t="str">
        <f t="shared" si="1"/>
        <v>Non-Compliant</v>
      </c>
      <c r="K161" s="1" t="str">
        <f t="shared" si="2"/>
        <v>Non-Incentive</v>
      </c>
      <c r="L161" s="1" t="str">
        <f t="shared" si="3"/>
        <v>TUG</v>
      </c>
      <c r="M161" s="1">
        <f t="shared" si="4"/>
        <v>3</v>
      </c>
      <c r="N161" s="1">
        <f t="shared" si="5"/>
        <v>2017</v>
      </c>
    </row>
    <row r="162" ht="15.75" customHeight="1">
      <c r="A162" s="1" t="s">
        <v>14</v>
      </c>
      <c r="B162" s="1">
        <v>7791798.0</v>
      </c>
      <c r="C162" s="1" t="s">
        <v>159</v>
      </c>
      <c r="D162" s="1" t="s">
        <v>160</v>
      </c>
      <c r="E162" s="1" t="s">
        <v>155</v>
      </c>
      <c r="F162" s="1" t="s">
        <v>161</v>
      </c>
      <c r="G162" s="1" t="s">
        <v>19</v>
      </c>
      <c r="H162" s="1" t="s">
        <v>162</v>
      </c>
      <c r="I162" s="1" t="s">
        <v>163</v>
      </c>
      <c r="J162" s="1" t="str">
        <f t="shared" si="1"/>
        <v>Non-Compliant</v>
      </c>
      <c r="K162" s="1" t="str">
        <f t="shared" si="2"/>
        <v>Non-Incentive</v>
      </c>
      <c r="L162" s="1" t="str">
        <f t="shared" si="3"/>
        <v>TUG</v>
      </c>
      <c r="M162" s="1">
        <f t="shared" si="4"/>
        <v>3</v>
      </c>
      <c r="N162" s="1">
        <f t="shared" si="5"/>
        <v>2017</v>
      </c>
    </row>
    <row r="163" ht="15.75" customHeight="1">
      <c r="A163" s="1" t="s">
        <v>14</v>
      </c>
      <c r="B163" s="1">
        <v>7961683.0</v>
      </c>
      <c r="C163" s="1" t="s">
        <v>261</v>
      </c>
      <c r="D163" s="1" t="s">
        <v>270</v>
      </c>
      <c r="E163" s="1" t="s">
        <v>234</v>
      </c>
      <c r="F163" s="1" t="s">
        <v>230</v>
      </c>
      <c r="G163" s="1" t="s">
        <v>19</v>
      </c>
      <c r="H163" s="1" t="s">
        <v>271</v>
      </c>
      <c r="I163" s="1" t="s">
        <v>272</v>
      </c>
      <c r="J163" s="1" t="str">
        <f t="shared" si="1"/>
        <v>Non-Compliant</v>
      </c>
      <c r="K163" s="1" t="str">
        <f t="shared" si="2"/>
        <v>Non-Incentive</v>
      </c>
      <c r="L163" s="1" t="str">
        <f t="shared" si="3"/>
        <v>TUG</v>
      </c>
      <c r="M163" s="1">
        <f t="shared" si="4"/>
        <v>3</v>
      </c>
      <c r="N163" s="1">
        <f t="shared" si="5"/>
        <v>2017</v>
      </c>
    </row>
    <row r="164" ht="15.75" customHeight="1">
      <c r="A164" s="1" t="s">
        <v>14</v>
      </c>
      <c r="B164" s="1">
        <v>7772989.0</v>
      </c>
      <c r="C164" s="1" t="s">
        <v>126</v>
      </c>
      <c r="D164" s="1" t="s">
        <v>141</v>
      </c>
      <c r="E164" s="1" t="s">
        <v>142</v>
      </c>
      <c r="F164" s="1" t="s">
        <v>143</v>
      </c>
      <c r="G164" s="1" t="s">
        <v>19</v>
      </c>
      <c r="H164" s="1" t="s">
        <v>144</v>
      </c>
      <c r="I164" s="1" t="s">
        <v>145</v>
      </c>
      <c r="J164" s="1" t="str">
        <f t="shared" si="1"/>
        <v>Non-Compliant</v>
      </c>
      <c r="K164" s="1" t="str">
        <f t="shared" si="2"/>
        <v>Non-Incentive</v>
      </c>
      <c r="L164" s="1" t="str">
        <f t="shared" si="3"/>
        <v>TUG</v>
      </c>
      <c r="M164" s="1">
        <f t="shared" si="4"/>
        <v>3</v>
      </c>
      <c r="N164" s="1">
        <f t="shared" si="5"/>
        <v>2017</v>
      </c>
    </row>
    <row r="165" ht="15.75" customHeight="1">
      <c r="A165" s="1" t="s">
        <v>14</v>
      </c>
      <c r="B165" s="1">
        <v>8035307.0</v>
      </c>
      <c r="C165" s="1" t="s">
        <v>301</v>
      </c>
      <c r="D165" s="1" t="s">
        <v>307</v>
      </c>
      <c r="E165" s="1" t="s">
        <v>308</v>
      </c>
      <c r="F165" s="1" t="s">
        <v>309</v>
      </c>
      <c r="G165" s="1" t="s">
        <v>19</v>
      </c>
      <c r="H165" s="1" t="s">
        <v>310</v>
      </c>
      <c r="I165" s="1" t="s">
        <v>311</v>
      </c>
      <c r="J165" s="1" t="str">
        <f t="shared" si="1"/>
        <v>Non-Compliant</v>
      </c>
      <c r="K165" s="1" t="str">
        <f t="shared" si="2"/>
        <v>Non-Incentive</v>
      </c>
      <c r="L165" s="1" t="str">
        <f t="shared" si="3"/>
        <v>TUG</v>
      </c>
      <c r="M165" s="1">
        <f t="shared" si="4"/>
        <v>3</v>
      </c>
      <c r="N165" s="1">
        <f t="shared" si="5"/>
        <v>2017</v>
      </c>
    </row>
    <row r="166" ht="15.75" customHeight="1">
      <c r="A166" s="1" t="s">
        <v>14</v>
      </c>
      <c r="B166" s="1">
        <v>8323127.0</v>
      </c>
      <c r="C166" s="1" t="s">
        <v>504</v>
      </c>
      <c r="D166" s="1" t="s">
        <v>509</v>
      </c>
      <c r="E166" s="1" t="s">
        <v>510</v>
      </c>
      <c r="F166" s="1" t="s">
        <v>511</v>
      </c>
      <c r="G166" s="1" t="s">
        <v>37</v>
      </c>
      <c r="H166" s="1" t="s">
        <v>512</v>
      </c>
      <c r="I166" s="1" t="s">
        <v>513</v>
      </c>
      <c r="J166" s="1" t="str">
        <f t="shared" si="1"/>
        <v>Non-Compliant</v>
      </c>
      <c r="K166" s="1" t="str">
        <f t="shared" si="2"/>
        <v>Non-Incentive</v>
      </c>
      <c r="L166" s="1" t="str">
        <f t="shared" si="3"/>
        <v>TUG</v>
      </c>
      <c r="M166" s="1">
        <f t="shared" si="4"/>
        <v>3</v>
      </c>
      <c r="N166" s="1">
        <f t="shared" si="5"/>
        <v>2017</v>
      </c>
    </row>
    <row r="167" ht="15.75" customHeight="1">
      <c r="A167" s="1" t="s">
        <v>14</v>
      </c>
      <c r="B167" s="1">
        <v>8169500.0</v>
      </c>
      <c r="C167" s="1" t="s">
        <v>386</v>
      </c>
      <c r="D167" s="1" t="s">
        <v>394</v>
      </c>
      <c r="E167" s="1" t="s">
        <v>395</v>
      </c>
      <c r="F167" s="1" t="s">
        <v>396</v>
      </c>
      <c r="G167" s="1" t="s">
        <v>37</v>
      </c>
      <c r="H167" s="1" t="s">
        <v>397</v>
      </c>
      <c r="I167" s="1" t="s">
        <v>398</v>
      </c>
      <c r="J167" s="1" t="str">
        <f t="shared" si="1"/>
        <v>Non-Compliant</v>
      </c>
      <c r="K167" s="1" t="str">
        <f t="shared" si="2"/>
        <v>Non-Incentive</v>
      </c>
      <c r="L167" s="1" t="str">
        <f t="shared" si="3"/>
        <v>TUG</v>
      </c>
      <c r="M167" s="1">
        <f t="shared" si="4"/>
        <v>3</v>
      </c>
      <c r="N167" s="1">
        <f t="shared" si="5"/>
        <v>2017</v>
      </c>
    </row>
    <row r="168" ht="15.75" customHeight="1">
      <c r="A168" s="1" t="s">
        <v>14</v>
      </c>
      <c r="B168" s="1">
        <v>8086454.0</v>
      </c>
      <c r="C168" s="1" t="s">
        <v>340</v>
      </c>
      <c r="D168" s="1" t="s">
        <v>341</v>
      </c>
      <c r="E168" s="1" t="s">
        <v>342</v>
      </c>
      <c r="F168" s="1" t="s">
        <v>343</v>
      </c>
      <c r="G168" s="1" t="s">
        <v>37</v>
      </c>
      <c r="H168" s="1" t="s">
        <v>344</v>
      </c>
      <c r="I168" s="1" t="s">
        <v>345</v>
      </c>
      <c r="J168" s="1" t="str">
        <f t="shared" si="1"/>
        <v>Non-Compliant</v>
      </c>
      <c r="K168" s="1" t="str">
        <f t="shared" si="2"/>
        <v>Non-Incentive</v>
      </c>
      <c r="L168" s="1" t="str">
        <f t="shared" si="3"/>
        <v>TUG</v>
      </c>
      <c r="M168" s="1">
        <f t="shared" si="4"/>
        <v>3</v>
      </c>
      <c r="N168" s="1">
        <f t="shared" si="5"/>
        <v>2017</v>
      </c>
    </row>
    <row r="169" ht="15.75" customHeight="1">
      <c r="A169" s="1" t="s">
        <v>14</v>
      </c>
      <c r="B169" s="1">
        <v>8122393.0</v>
      </c>
      <c r="C169" s="1" t="s">
        <v>356</v>
      </c>
      <c r="D169" s="1" t="s">
        <v>357</v>
      </c>
      <c r="E169" s="1" t="s">
        <v>358</v>
      </c>
      <c r="F169" s="1" t="s">
        <v>359</v>
      </c>
      <c r="G169" s="1" t="s">
        <v>19</v>
      </c>
      <c r="H169" s="1" t="s">
        <v>360</v>
      </c>
      <c r="I169" s="1" t="s">
        <v>361</v>
      </c>
      <c r="J169" s="1" t="str">
        <f t="shared" si="1"/>
        <v>Non-Compliant</v>
      </c>
      <c r="K169" s="1" t="str">
        <f t="shared" si="2"/>
        <v>Non-Incentive</v>
      </c>
      <c r="L169" s="1" t="str">
        <f t="shared" si="3"/>
        <v>TUG</v>
      </c>
      <c r="M169" s="1">
        <f t="shared" si="4"/>
        <v>3</v>
      </c>
      <c r="N169" s="1">
        <f t="shared" si="5"/>
        <v>2017</v>
      </c>
    </row>
    <row r="170" ht="15.75" customHeight="1">
      <c r="A170" s="1" t="s">
        <v>14</v>
      </c>
      <c r="B170" s="1">
        <v>8022473.0</v>
      </c>
      <c r="C170" s="1" t="s">
        <v>301</v>
      </c>
      <c r="D170" s="1" t="s">
        <v>302</v>
      </c>
      <c r="E170" s="1" t="s">
        <v>303</v>
      </c>
      <c r="F170" s="1" t="s">
        <v>304</v>
      </c>
      <c r="G170" s="1" t="s">
        <v>19</v>
      </c>
      <c r="H170" s="1" t="s">
        <v>305</v>
      </c>
      <c r="I170" s="1" t="s">
        <v>306</v>
      </c>
      <c r="J170" s="1" t="str">
        <f t="shared" si="1"/>
        <v>Non-Compliant</v>
      </c>
      <c r="K170" s="1" t="str">
        <f t="shared" si="2"/>
        <v>Non-Incentive</v>
      </c>
      <c r="L170" s="1" t="str">
        <f t="shared" si="3"/>
        <v>TUG</v>
      </c>
      <c r="M170" s="1">
        <f t="shared" si="4"/>
        <v>3</v>
      </c>
      <c r="N170" s="1">
        <f t="shared" si="5"/>
        <v>2017</v>
      </c>
    </row>
    <row r="171" ht="15.75" customHeight="1">
      <c r="A171" s="1" t="s">
        <v>14</v>
      </c>
      <c r="B171" s="1">
        <v>8216051.0</v>
      </c>
      <c r="C171" s="1" t="s">
        <v>415</v>
      </c>
      <c r="D171" s="1" t="s">
        <v>423</v>
      </c>
      <c r="E171" s="1" t="s">
        <v>424</v>
      </c>
      <c r="F171" s="1" t="s">
        <v>425</v>
      </c>
      <c r="G171" s="1" t="s">
        <v>19</v>
      </c>
      <c r="H171" s="1" t="s">
        <v>426</v>
      </c>
      <c r="I171" s="1" t="s">
        <v>427</v>
      </c>
      <c r="J171" s="1" t="str">
        <f t="shared" si="1"/>
        <v>Non-Compliant</v>
      </c>
      <c r="K171" s="1" t="str">
        <f t="shared" si="2"/>
        <v>Non-Incentive</v>
      </c>
      <c r="L171" s="1" t="str">
        <f t="shared" si="3"/>
        <v>TUG</v>
      </c>
      <c r="M171" s="1">
        <f t="shared" si="4"/>
        <v>3</v>
      </c>
      <c r="N171" s="1">
        <f t="shared" si="5"/>
        <v>2017</v>
      </c>
    </row>
    <row r="172" ht="15.75" customHeight="1">
      <c r="A172" s="1" t="s">
        <v>14</v>
      </c>
      <c r="B172" s="1">
        <v>8424711.0</v>
      </c>
      <c r="C172" s="1" t="s">
        <v>571</v>
      </c>
      <c r="D172" s="1" t="s">
        <v>576</v>
      </c>
      <c r="E172" s="1" t="s">
        <v>529</v>
      </c>
      <c r="F172" s="1" t="s">
        <v>577</v>
      </c>
      <c r="G172" s="1" t="s">
        <v>19</v>
      </c>
      <c r="H172" s="1" t="s">
        <v>578</v>
      </c>
      <c r="I172" s="1" t="s">
        <v>579</v>
      </c>
      <c r="J172" s="1" t="str">
        <f t="shared" si="1"/>
        <v>Non-Compliant</v>
      </c>
      <c r="K172" s="1" t="str">
        <f t="shared" si="2"/>
        <v>Non-Incentive</v>
      </c>
      <c r="L172" s="1" t="str">
        <f t="shared" si="3"/>
        <v>TUG</v>
      </c>
      <c r="M172" s="1">
        <f t="shared" si="4"/>
        <v>3</v>
      </c>
      <c r="N172" s="1">
        <f t="shared" si="5"/>
        <v>2017</v>
      </c>
    </row>
    <row r="173" ht="15.75" customHeight="1">
      <c r="A173" s="1" t="s">
        <v>14</v>
      </c>
      <c r="B173" s="1">
        <v>8144422.0</v>
      </c>
      <c r="C173" s="1" t="s">
        <v>362</v>
      </c>
      <c r="D173" s="1" t="s">
        <v>374</v>
      </c>
      <c r="E173" s="1" t="s">
        <v>375</v>
      </c>
      <c r="F173" s="1" t="s">
        <v>376</v>
      </c>
      <c r="G173" s="1" t="s">
        <v>37</v>
      </c>
      <c r="H173" s="1" t="s">
        <v>377</v>
      </c>
      <c r="I173" s="1" t="s">
        <v>378</v>
      </c>
      <c r="J173" s="1" t="str">
        <f t="shared" si="1"/>
        <v>Non-Compliant</v>
      </c>
      <c r="K173" s="1" t="str">
        <f t="shared" si="2"/>
        <v>Non-Incentive</v>
      </c>
      <c r="L173" s="1" t="str">
        <f t="shared" si="3"/>
        <v>TUG</v>
      </c>
      <c r="M173" s="1">
        <f t="shared" si="4"/>
        <v>3</v>
      </c>
      <c r="N173" s="1">
        <f t="shared" si="5"/>
        <v>2017</v>
      </c>
    </row>
    <row r="174" ht="15.75" customHeight="1">
      <c r="A174" s="1" t="s">
        <v>14</v>
      </c>
      <c r="B174" s="1">
        <v>8170873.0</v>
      </c>
      <c r="C174" s="1" t="s">
        <v>386</v>
      </c>
      <c r="D174" s="1" t="s">
        <v>399</v>
      </c>
      <c r="E174" s="1" t="s">
        <v>400</v>
      </c>
      <c r="F174" s="1" t="s">
        <v>401</v>
      </c>
      <c r="G174" s="1" t="s">
        <v>19</v>
      </c>
      <c r="H174" s="1" t="s">
        <v>402</v>
      </c>
      <c r="I174" s="1" t="s">
        <v>378</v>
      </c>
      <c r="J174" s="1" t="str">
        <f t="shared" si="1"/>
        <v>Non-Compliant</v>
      </c>
      <c r="K174" s="1" t="str">
        <f t="shared" si="2"/>
        <v>Non-Incentive</v>
      </c>
      <c r="L174" s="1" t="str">
        <f t="shared" si="3"/>
        <v>TUG</v>
      </c>
      <c r="M174" s="1">
        <f t="shared" si="4"/>
        <v>3</v>
      </c>
      <c r="N174" s="1">
        <f t="shared" si="5"/>
        <v>2017</v>
      </c>
    </row>
    <row r="175" ht="15.75" customHeight="1">
      <c r="A175" s="1" t="s">
        <v>14</v>
      </c>
      <c r="B175" s="1">
        <v>8462659.0</v>
      </c>
      <c r="C175" s="1" t="s">
        <v>596</v>
      </c>
      <c r="D175" s="1" t="s">
        <v>605</v>
      </c>
      <c r="E175" s="1" t="s">
        <v>606</v>
      </c>
      <c r="F175" s="1" t="s">
        <v>607</v>
      </c>
      <c r="G175" s="1" t="s">
        <v>37</v>
      </c>
      <c r="H175" s="1" t="s">
        <v>608</v>
      </c>
      <c r="I175" s="1" t="s">
        <v>378</v>
      </c>
      <c r="J175" s="1" t="str">
        <f t="shared" si="1"/>
        <v>Non-Compliant</v>
      </c>
      <c r="K175" s="1" t="str">
        <f t="shared" si="2"/>
        <v>Non-Incentive</v>
      </c>
      <c r="L175" s="1" t="str">
        <f t="shared" si="3"/>
        <v>TUG</v>
      </c>
      <c r="M175" s="1">
        <f t="shared" si="4"/>
        <v>3</v>
      </c>
      <c r="N175" s="1">
        <f t="shared" si="5"/>
        <v>2017</v>
      </c>
    </row>
    <row r="176" ht="15.75" customHeight="1">
      <c r="A176" s="1" t="s">
        <v>14</v>
      </c>
      <c r="B176" s="1">
        <v>8061134.0</v>
      </c>
      <c r="C176" s="1" t="s">
        <v>316</v>
      </c>
      <c r="D176" s="1" t="s">
        <v>322</v>
      </c>
      <c r="E176" s="1" t="s">
        <v>323</v>
      </c>
      <c r="F176" s="1" t="s">
        <v>324</v>
      </c>
      <c r="G176" s="1" t="s">
        <v>19</v>
      </c>
      <c r="H176" s="1" t="s">
        <v>325</v>
      </c>
      <c r="I176" s="1" t="s">
        <v>326</v>
      </c>
      <c r="J176" s="1" t="str">
        <f t="shared" si="1"/>
        <v>Non-Compliant</v>
      </c>
      <c r="K176" s="1" t="str">
        <f t="shared" si="2"/>
        <v>Non-Incentive</v>
      </c>
      <c r="L176" s="1" t="str">
        <f t="shared" si="3"/>
        <v>TUG</v>
      </c>
      <c r="M176" s="1">
        <f t="shared" si="4"/>
        <v>3</v>
      </c>
      <c r="N176" s="1">
        <f t="shared" si="5"/>
        <v>2017</v>
      </c>
    </row>
    <row r="177" ht="15.75" customHeight="1">
      <c r="A177" s="1" t="s">
        <v>14</v>
      </c>
      <c r="B177" s="1">
        <v>8466834.0</v>
      </c>
      <c r="C177" s="1" t="s">
        <v>596</v>
      </c>
      <c r="D177" s="1" t="s">
        <v>609</v>
      </c>
      <c r="E177" s="1" t="s">
        <v>534</v>
      </c>
      <c r="F177" s="1" t="s">
        <v>610</v>
      </c>
      <c r="G177" s="1" t="s">
        <v>19</v>
      </c>
      <c r="H177" s="1" t="s">
        <v>611</v>
      </c>
      <c r="I177" s="1" t="s">
        <v>612</v>
      </c>
      <c r="J177" s="1" t="str">
        <f t="shared" si="1"/>
        <v>Non-Compliant</v>
      </c>
      <c r="K177" s="1" t="str">
        <f t="shared" si="2"/>
        <v>Non-Incentive</v>
      </c>
      <c r="L177" s="1" t="str">
        <f t="shared" si="3"/>
        <v>TUG</v>
      </c>
      <c r="M177" s="1">
        <f t="shared" si="4"/>
        <v>3</v>
      </c>
      <c r="N177" s="1">
        <f t="shared" si="5"/>
        <v>2017</v>
      </c>
    </row>
    <row r="178" ht="15.75" customHeight="1">
      <c r="A178" s="1" t="s">
        <v>14</v>
      </c>
      <c r="B178" s="1">
        <v>8371290.0</v>
      </c>
      <c r="C178" s="1" t="s">
        <v>538</v>
      </c>
      <c r="D178" s="1" t="s">
        <v>546</v>
      </c>
      <c r="E178" s="1" t="s">
        <v>400</v>
      </c>
      <c r="F178" s="1" t="s">
        <v>547</v>
      </c>
      <c r="G178" s="1" t="s">
        <v>19</v>
      </c>
      <c r="H178" s="1" t="s">
        <v>548</v>
      </c>
      <c r="I178" s="1" t="s">
        <v>549</v>
      </c>
      <c r="J178" s="1" t="str">
        <f t="shared" si="1"/>
        <v>Non-Compliant</v>
      </c>
      <c r="K178" s="1" t="str">
        <f t="shared" si="2"/>
        <v>Non-Incentive</v>
      </c>
      <c r="L178" s="1" t="str">
        <f t="shared" si="3"/>
        <v>TUG</v>
      </c>
      <c r="M178" s="1">
        <f t="shared" si="4"/>
        <v>3</v>
      </c>
      <c r="N178" s="1">
        <f t="shared" si="5"/>
        <v>2017</v>
      </c>
    </row>
    <row r="179" ht="15.75" customHeight="1">
      <c r="A179" s="1" t="s">
        <v>14</v>
      </c>
      <c r="B179" s="1">
        <v>8488643.0</v>
      </c>
      <c r="C179" s="1" t="s">
        <v>621</v>
      </c>
      <c r="D179" s="1" t="s">
        <v>629</v>
      </c>
      <c r="E179" s="1" t="s">
        <v>630</v>
      </c>
      <c r="F179" s="1" t="s">
        <v>631</v>
      </c>
      <c r="G179" s="1" t="s">
        <v>632</v>
      </c>
      <c r="H179" s="1" t="s">
        <v>633</v>
      </c>
      <c r="I179" s="1" t="s">
        <v>634</v>
      </c>
      <c r="J179" s="1" t="str">
        <f t="shared" si="1"/>
        <v>Non-Compliant</v>
      </c>
      <c r="K179" s="1" t="str">
        <f t="shared" si="2"/>
        <v>Non-Incentive</v>
      </c>
      <c r="L179" s="1" t="str">
        <f t="shared" si="3"/>
        <v>TUG</v>
      </c>
      <c r="M179" s="1">
        <f t="shared" si="4"/>
        <v>3</v>
      </c>
      <c r="N179" s="1">
        <f t="shared" si="5"/>
        <v>2017</v>
      </c>
    </row>
    <row r="180" ht="15.75" customHeight="1">
      <c r="A180" s="1" t="s">
        <v>14</v>
      </c>
      <c r="B180" s="1">
        <v>8876829.0</v>
      </c>
      <c r="C180" s="1" t="s">
        <v>832</v>
      </c>
      <c r="D180" s="1" t="s">
        <v>833</v>
      </c>
      <c r="E180" s="1" t="s">
        <v>834</v>
      </c>
      <c r="F180" s="1" t="s">
        <v>835</v>
      </c>
      <c r="G180" s="1" t="s">
        <v>19</v>
      </c>
      <c r="H180" s="1" t="s">
        <v>836</v>
      </c>
      <c r="I180" s="1" t="s">
        <v>837</v>
      </c>
      <c r="J180" s="1" t="str">
        <f t="shared" si="1"/>
        <v>Non-Compliant</v>
      </c>
      <c r="K180" s="1" t="str">
        <f t="shared" si="2"/>
        <v>Non-Incentive</v>
      </c>
      <c r="L180" s="1" t="str">
        <f t="shared" si="3"/>
        <v>TUG</v>
      </c>
      <c r="M180" s="1">
        <f t="shared" si="4"/>
        <v>3</v>
      </c>
      <c r="N180" s="1">
        <f t="shared" si="5"/>
        <v>2017</v>
      </c>
    </row>
    <row r="181" ht="15.75" customHeight="1">
      <c r="A181" s="1" t="s">
        <v>14</v>
      </c>
      <c r="B181" s="1">
        <v>8876935.0</v>
      </c>
      <c r="C181" s="1" t="s">
        <v>832</v>
      </c>
      <c r="D181" s="1" t="s">
        <v>838</v>
      </c>
      <c r="E181" s="1" t="s">
        <v>834</v>
      </c>
      <c r="F181" s="1" t="s">
        <v>839</v>
      </c>
      <c r="G181" s="1" t="s">
        <v>19</v>
      </c>
      <c r="H181" s="1" t="s">
        <v>840</v>
      </c>
      <c r="I181" s="1" t="s">
        <v>837</v>
      </c>
      <c r="J181" s="1" t="str">
        <f t="shared" si="1"/>
        <v>Non-Compliant</v>
      </c>
      <c r="K181" s="1" t="str">
        <f t="shared" si="2"/>
        <v>Non-Incentive</v>
      </c>
      <c r="L181" s="1" t="str">
        <f t="shared" si="3"/>
        <v>TUG</v>
      </c>
      <c r="M181" s="1">
        <f t="shared" si="4"/>
        <v>3</v>
      </c>
      <c r="N181" s="1">
        <f t="shared" si="5"/>
        <v>2017</v>
      </c>
    </row>
    <row r="182" ht="15.75" customHeight="1">
      <c r="A182" s="1" t="s">
        <v>14</v>
      </c>
      <c r="B182" s="1">
        <v>8065602.0</v>
      </c>
      <c r="C182" s="1" t="s">
        <v>316</v>
      </c>
      <c r="D182" s="1" t="s">
        <v>330</v>
      </c>
      <c r="E182" s="1" t="s">
        <v>331</v>
      </c>
      <c r="F182" s="1" t="s">
        <v>332</v>
      </c>
      <c r="G182" s="1" t="s">
        <v>37</v>
      </c>
      <c r="H182" s="1" t="s">
        <v>333</v>
      </c>
      <c r="I182" s="1" t="s">
        <v>334</v>
      </c>
      <c r="J182" s="1" t="str">
        <f t="shared" si="1"/>
        <v>Non-Compliant</v>
      </c>
      <c r="K182" s="1" t="str">
        <f t="shared" si="2"/>
        <v>Non-Incentive</v>
      </c>
      <c r="L182" s="1" t="str">
        <f t="shared" si="3"/>
        <v>TUG</v>
      </c>
      <c r="M182" s="1">
        <f t="shared" si="4"/>
        <v>3</v>
      </c>
      <c r="N182" s="1">
        <f t="shared" si="5"/>
        <v>2017</v>
      </c>
    </row>
    <row r="183" ht="15.75" customHeight="1">
      <c r="A183" s="1" t="s">
        <v>14</v>
      </c>
      <c r="B183" s="1">
        <v>8579468.0</v>
      </c>
      <c r="C183" s="1" t="s">
        <v>663</v>
      </c>
      <c r="D183" s="1" t="s">
        <v>669</v>
      </c>
      <c r="E183" s="1" t="s">
        <v>670</v>
      </c>
      <c r="F183" s="1" t="s">
        <v>671</v>
      </c>
      <c r="G183" s="1" t="s">
        <v>19</v>
      </c>
      <c r="H183" s="1" t="s">
        <v>672</v>
      </c>
      <c r="I183" s="1" t="s">
        <v>673</v>
      </c>
      <c r="J183" s="1" t="str">
        <f t="shared" si="1"/>
        <v>Non-Compliant</v>
      </c>
      <c r="K183" s="1" t="str">
        <f t="shared" si="2"/>
        <v>Non-Incentive</v>
      </c>
      <c r="L183" s="1" t="str">
        <f t="shared" si="3"/>
        <v>TUG</v>
      </c>
      <c r="M183" s="1">
        <f t="shared" si="4"/>
        <v>3</v>
      </c>
      <c r="N183" s="1">
        <f t="shared" si="5"/>
        <v>2017</v>
      </c>
    </row>
    <row r="184" ht="15.75" customHeight="1">
      <c r="A184" s="1" t="s">
        <v>14</v>
      </c>
      <c r="B184" s="1">
        <v>8751355.0</v>
      </c>
      <c r="C184" s="1" t="s">
        <v>768</v>
      </c>
      <c r="D184" s="1" t="s">
        <v>774</v>
      </c>
      <c r="E184" s="1" t="s">
        <v>775</v>
      </c>
      <c r="F184" s="1" t="s">
        <v>776</v>
      </c>
      <c r="G184" s="1" t="s">
        <v>777</v>
      </c>
      <c r="H184" s="1" t="s">
        <v>778</v>
      </c>
      <c r="I184" s="1" t="s">
        <v>779</v>
      </c>
      <c r="J184" s="1" t="str">
        <f t="shared" si="1"/>
        <v>Non-Compliant</v>
      </c>
      <c r="K184" s="1" t="str">
        <f t="shared" si="2"/>
        <v>Non-Incentive</v>
      </c>
      <c r="L184" s="1" t="str">
        <f t="shared" si="3"/>
        <v>TUG</v>
      </c>
      <c r="M184" s="1">
        <f t="shared" si="4"/>
        <v>3</v>
      </c>
      <c r="N184" s="1">
        <f t="shared" si="5"/>
        <v>2017</v>
      </c>
    </row>
    <row r="185" ht="15.75" customHeight="1">
      <c r="A185" s="1" t="s">
        <v>14</v>
      </c>
      <c r="B185" s="1">
        <v>8602587.0</v>
      </c>
      <c r="C185" s="1" t="s">
        <v>687</v>
      </c>
      <c r="D185" s="1" t="s">
        <v>690</v>
      </c>
      <c r="E185" s="1" t="s">
        <v>691</v>
      </c>
      <c r="F185" s="1" t="s">
        <v>692</v>
      </c>
      <c r="G185" s="1" t="s">
        <v>19</v>
      </c>
      <c r="H185" s="1" t="s">
        <v>693</v>
      </c>
      <c r="I185" s="1" t="s">
        <v>694</v>
      </c>
      <c r="J185" s="1" t="str">
        <f t="shared" si="1"/>
        <v>Non-Compliant</v>
      </c>
      <c r="K185" s="1" t="str">
        <f t="shared" si="2"/>
        <v>Non-Incentive</v>
      </c>
      <c r="L185" s="1" t="str">
        <f t="shared" si="3"/>
        <v>TUG</v>
      </c>
      <c r="M185" s="1">
        <f t="shared" si="4"/>
        <v>3</v>
      </c>
      <c r="N185" s="1">
        <f t="shared" si="5"/>
        <v>2017</v>
      </c>
    </row>
    <row r="186" ht="15.75" customHeight="1">
      <c r="A186" s="1" t="s">
        <v>14</v>
      </c>
      <c r="B186" s="1">
        <v>8483178.0</v>
      </c>
      <c r="C186" s="1" t="s">
        <v>621</v>
      </c>
      <c r="D186" s="1" t="s">
        <v>622</v>
      </c>
      <c r="E186" s="1" t="s">
        <v>540</v>
      </c>
      <c r="F186" s="1" t="s">
        <v>623</v>
      </c>
      <c r="G186" s="1" t="s">
        <v>19</v>
      </c>
      <c r="H186" s="1" t="s">
        <v>624</v>
      </c>
      <c r="I186" s="1" t="s">
        <v>625</v>
      </c>
      <c r="J186" s="1" t="str">
        <f t="shared" si="1"/>
        <v>Non-Compliant</v>
      </c>
      <c r="K186" s="1" t="str">
        <f t="shared" si="2"/>
        <v>Non-Incentive</v>
      </c>
      <c r="L186" s="1" t="str">
        <f t="shared" si="3"/>
        <v>TUG</v>
      </c>
      <c r="M186" s="1">
        <f t="shared" si="4"/>
        <v>3</v>
      </c>
      <c r="N186" s="1">
        <f t="shared" si="5"/>
        <v>2017</v>
      </c>
    </row>
    <row r="187" ht="15.75" customHeight="1">
      <c r="A187" s="1" t="s">
        <v>14</v>
      </c>
      <c r="B187" s="1">
        <v>8533887.0</v>
      </c>
      <c r="C187" s="1" t="s">
        <v>649</v>
      </c>
      <c r="D187" s="1" t="s">
        <v>654</v>
      </c>
      <c r="E187" s="1" t="s">
        <v>641</v>
      </c>
      <c r="F187" s="1" t="s">
        <v>655</v>
      </c>
      <c r="G187" s="1" t="s">
        <v>19</v>
      </c>
      <c r="H187" s="1" t="s">
        <v>656</v>
      </c>
      <c r="I187" s="1" t="s">
        <v>657</v>
      </c>
      <c r="J187" s="1" t="str">
        <f t="shared" si="1"/>
        <v>Non-Compliant</v>
      </c>
      <c r="K187" s="1" t="str">
        <f t="shared" si="2"/>
        <v>Non-Incentive</v>
      </c>
      <c r="L187" s="1" t="str">
        <f t="shared" si="3"/>
        <v>TUG</v>
      </c>
      <c r="M187" s="1">
        <f t="shared" si="4"/>
        <v>3</v>
      </c>
      <c r="N187" s="1">
        <f t="shared" si="5"/>
        <v>2017</v>
      </c>
    </row>
    <row r="188" ht="15.75" customHeight="1">
      <c r="A188" s="1" t="s">
        <v>14</v>
      </c>
      <c r="B188" s="1">
        <v>8584704.0</v>
      </c>
      <c r="C188" s="1" t="s">
        <v>663</v>
      </c>
      <c r="D188" s="1" t="s">
        <v>683</v>
      </c>
      <c r="E188" s="1" t="s">
        <v>568</v>
      </c>
      <c r="F188" s="1" t="s">
        <v>684</v>
      </c>
      <c r="G188" s="1" t="s">
        <v>37</v>
      </c>
      <c r="H188" s="1" t="s">
        <v>685</v>
      </c>
      <c r="I188" s="1" t="s">
        <v>686</v>
      </c>
      <c r="J188" s="1" t="str">
        <f t="shared" si="1"/>
        <v>Non-Compliant</v>
      </c>
      <c r="K188" s="1" t="str">
        <f t="shared" si="2"/>
        <v>Non-Incentive</v>
      </c>
      <c r="L188" s="1" t="str">
        <f t="shared" si="3"/>
        <v>TUG</v>
      </c>
      <c r="M188" s="1">
        <f t="shared" si="4"/>
        <v>3</v>
      </c>
      <c r="N188" s="1">
        <f t="shared" si="5"/>
        <v>2017</v>
      </c>
    </row>
    <row r="189" ht="15.75" customHeight="1">
      <c r="A189" s="1" t="s">
        <v>14</v>
      </c>
      <c r="B189" s="1">
        <v>8620347.0</v>
      </c>
      <c r="C189" s="1" t="s">
        <v>733</v>
      </c>
      <c r="D189" s="1" t="s">
        <v>734</v>
      </c>
      <c r="E189" s="1" t="s">
        <v>675</v>
      </c>
      <c r="F189" s="1" t="s">
        <v>684</v>
      </c>
      <c r="G189" s="1" t="s">
        <v>19</v>
      </c>
      <c r="H189" s="1" t="s">
        <v>735</v>
      </c>
      <c r="I189" s="1" t="s">
        <v>686</v>
      </c>
      <c r="J189" s="1" t="str">
        <f t="shared" si="1"/>
        <v>Non-Compliant</v>
      </c>
      <c r="K189" s="1" t="str">
        <f t="shared" si="2"/>
        <v>Non-Incentive</v>
      </c>
      <c r="L189" s="1" t="str">
        <f t="shared" si="3"/>
        <v>TUG</v>
      </c>
      <c r="M189" s="1">
        <f t="shared" si="4"/>
        <v>3</v>
      </c>
      <c r="N189" s="1">
        <f t="shared" si="5"/>
        <v>2017</v>
      </c>
    </row>
    <row r="190" ht="15.75" customHeight="1">
      <c r="A190" s="1" t="s">
        <v>14</v>
      </c>
      <c r="B190" s="1">
        <v>8605254.0</v>
      </c>
      <c r="C190" s="1" t="s">
        <v>687</v>
      </c>
      <c r="D190" s="1" t="s">
        <v>695</v>
      </c>
      <c r="E190" s="1" t="s">
        <v>651</v>
      </c>
      <c r="F190" s="1" t="s">
        <v>696</v>
      </c>
      <c r="G190" s="1" t="s">
        <v>37</v>
      </c>
      <c r="H190" s="1" t="s">
        <v>697</v>
      </c>
      <c r="I190" s="1" t="s">
        <v>698</v>
      </c>
      <c r="J190" s="1" t="str">
        <f t="shared" si="1"/>
        <v>Non-Compliant</v>
      </c>
      <c r="K190" s="1" t="str">
        <f t="shared" si="2"/>
        <v>Non-Incentive</v>
      </c>
      <c r="L190" s="1" t="str">
        <f t="shared" si="3"/>
        <v>TUG</v>
      </c>
      <c r="M190" s="1">
        <f t="shared" si="4"/>
        <v>3</v>
      </c>
      <c r="N190" s="1">
        <f t="shared" si="5"/>
        <v>2017</v>
      </c>
    </row>
    <row r="191" ht="15.75" customHeight="1">
      <c r="A191" s="1" t="s">
        <v>14</v>
      </c>
      <c r="B191" s="1">
        <v>8452436.0</v>
      </c>
      <c r="C191" s="1" t="s">
        <v>596</v>
      </c>
      <c r="D191" s="1" t="s">
        <v>597</v>
      </c>
      <c r="E191" s="1" t="s">
        <v>598</v>
      </c>
      <c r="F191" s="1" t="s">
        <v>599</v>
      </c>
      <c r="G191" s="1" t="s">
        <v>19</v>
      </c>
      <c r="H191" s="1" t="s">
        <v>600</v>
      </c>
      <c r="I191" s="1" t="s">
        <v>601</v>
      </c>
      <c r="J191" s="1" t="str">
        <f t="shared" si="1"/>
        <v>Non-Compliant</v>
      </c>
      <c r="K191" s="1" t="str">
        <f t="shared" si="2"/>
        <v>Non-Incentive</v>
      </c>
      <c r="L191" s="1" t="str">
        <f t="shared" si="3"/>
        <v>TUG</v>
      </c>
      <c r="M191" s="1">
        <f t="shared" si="4"/>
        <v>3</v>
      </c>
      <c r="N191" s="1">
        <f t="shared" si="5"/>
        <v>2017</v>
      </c>
    </row>
    <row r="192" ht="15.75" customHeight="1">
      <c r="A192" s="1" t="s">
        <v>14</v>
      </c>
      <c r="B192" s="1">
        <v>8584007.0</v>
      </c>
      <c r="C192" s="1" t="s">
        <v>663</v>
      </c>
      <c r="D192" s="1" t="s">
        <v>679</v>
      </c>
      <c r="E192" s="1" t="s">
        <v>680</v>
      </c>
      <c r="F192" s="1" t="s">
        <v>661</v>
      </c>
      <c r="G192" s="1" t="s">
        <v>19</v>
      </c>
      <c r="H192" s="1" t="s">
        <v>681</v>
      </c>
      <c r="I192" s="1" t="s">
        <v>682</v>
      </c>
      <c r="J192" s="1" t="str">
        <f t="shared" si="1"/>
        <v>Non-Compliant</v>
      </c>
      <c r="K192" s="1" t="str">
        <f t="shared" si="2"/>
        <v>Non-Incentive</v>
      </c>
      <c r="L192" s="1" t="str">
        <f t="shared" si="3"/>
        <v>TUG</v>
      </c>
      <c r="M192" s="1">
        <f t="shared" si="4"/>
        <v>3</v>
      </c>
      <c r="N192" s="1">
        <f t="shared" si="5"/>
        <v>2017</v>
      </c>
    </row>
    <row r="193" ht="15.75" customHeight="1">
      <c r="A193" s="1" t="s">
        <v>14</v>
      </c>
      <c r="B193" s="1">
        <v>8612296.0</v>
      </c>
      <c r="C193" s="1" t="s">
        <v>687</v>
      </c>
      <c r="D193" s="1" t="s">
        <v>725</v>
      </c>
      <c r="E193" s="1" t="s">
        <v>651</v>
      </c>
      <c r="F193" s="1" t="s">
        <v>726</v>
      </c>
      <c r="G193" s="1" t="s">
        <v>37</v>
      </c>
      <c r="H193" s="1" t="s">
        <v>727</v>
      </c>
      <c r="I193" s="1" t="s">
        <v>682</v>
      </c>
      <c r="J193" s="1" t="str">
        <f t="shared" si="1"/>
        <v>Non-Compliant</v>
      </c>
      <c r="K193" s="1" t="str">
        <f t="shared" si="2"/>
        <v>Non-Incentive</v>
      </c>
      <c r="L193" s="1" t="str">
        <f t="shared" si="3"/>
        <v>TUG</v>
      </c>
      <c r="M193" s="1">
        <f t="shared" si="4"/>
        <v>3</v>
      </c>
      <c r="N193" s="1">
        <f t="shared" si="5"/>
        <v>2017</v>
      </c>
    </row>
    <row r="194" ht="15.75" customHeight="1">
      <c r="A194" s="1" t="s">
        <v>14</v>
      </c>
      <c r="B194" s="1">
        <v>9009228.0</v>
      </c>
      <c r="C194" s="1" t="s">
        <v>906</v>
      </c>
      <c r="D194" s="1" t="s">
        <v>919</v>
      </c>
      <c r="E194" s="1" t="s">
        <v>755</v>
      </c>
      <c r="F194" s="1" t="s">
        <v>920</v>
      </c>
      <c r="G194" s="1" t="s">
        <v>37</v>
      </c>
      <c r="H194" s="1" t="s">
        <v>921</v>
      </c>
      <c r="I194" s="1" t="s">
        <v>922</v>
      </c>
      <c r="J194" s="1" t="str">
        <f t="shared" si="1"/>
        <v>Non-Compliant</v>
      </c>
      <c r="K194" s="1" t="str">
        <f t="shared" si="2"/>
        <v>Non-Incentive</v>
      </c>
      <c r="L194" s="1" t="str">
        <f t="shared" si="3"/>
        <v>TUG</v>
      </c>
      <c r="M194" s="1">
        <f t="shared" si="4"/>
        <v>3</v>
      </c>
      <c r="N194" s="1">
        <f t="shared" si="5"/>
        <v>2017</v>
      </c>
    </row>
    <row r="195" ht="15.75" customHeight="1">
      <c r="A195" s="1" t="s">
        <v>14</v>
      </c>
      <c r="B195" s="1">
        <v>9073097.0</v>
      </c>
      <c r="C195" s="1" t="s">
        <v>934</v>
      </c>
      <c r="D195" s="1" t="s">
        <v>940</v>
      </c>
      <c r="E195" s="1" t="s">
        <v>941</v>
      </c>
      <c r="F195" s="1" t="s">
        <v>942</v>
      </c>
      <c r="G195" s="1" t="s">
        <v>37</v>
      </c>
      <c r="H195" s="1" t="s">
        <v>943</v>
      </c>
      <c r="I195" s="1" t="s">
        <v>944</v>
      </c>
      <c r="J195" s="1" t="str">
        <f t="shared" si="1"/>
        <v>Non-Compliant</v>
      </c>
      <c r="K195" s="1" t="str">
        <f t="shared" si="2"/>
        <v>Non-Incentive</v>
      </c>
      <c r="L195" s="1" t="str">
        <f t="shared" si="3"/>
        <v>TUG</v>
      </c>
      <c r="M195" s="1">
        <f t="shared" si="4"/>
        <v>3</v>
      </c>
      <c r="N195" s="1">
        <f t="shared" si="5"/>
        <v>2017</v>
      </c>
    </row>
    <row r="196" ht="15.75" customHeight="1">
      <c r="A196" s="1" t="s">
        <v>14</v>
      </c>
      <c r="B196" s="1">
        <v>8581999.0</v>
      </c>
      <c r="C196" s="1" t="s">
        <v>663</v>
      </c>
      <c r="D196" s="1" t="s">
        <v>674</v>
      </c>
      <c r="E196" s="1" t="s">
        <v>675</v>
      </c>
      <c r="F196" s="1" t="s">
        <v>676</v>
      </c>
      <c r="G196" s="1" t="s">
        <v>19</v>
      </c>
      <c r="H196" s="1" t="s">
        <v>677</v>
      </c>
      <c r="I196" s="1" t="s">
        <v>678</v>
      </c>
      <c r="J196" s="1" t="str">
        <f t="shared" si="1"/>
        <v>Non-Compliant</v>
      </c>
      <c r="K196" s="1" t="str">
        <f t="shared" si="2"/>
        <v>Non-Incentive</v>
      </c>
      <c r="L196" s="1" t="str">
        <f t="shared" si="3"/>
        <v>TUG</v>
      </c>
      <c r="M196" s="1">
        <f t="shared" si="4"/>
        <v>3</v>
      </c>
      <c r="N196" s="1">
        <f t="shared" si="5"/>
        <v>2017</v>
      </c>
    </row>
    <row r="197" ht="15.75" customHeight="1">
      <c r="A197" s="1" t="s">
        <v>14</v>
      </c>
      <c r="B197" s="1">
        <v>8493626.0</v>
      </c>
      <c r="C197" s="1" t="s">
        <v>621</v>
      </c>
      <c r="D197" s="1" t="s">
        <v>635</v>
      </c>
      <c r="E197" s="1" t="s">
        <v>618</v>
      </c>
      <c r="F197" s="1" t="s">
        <v>636</v>
      </c>
      <c r="G197" s="1" t="s">
        <v>37</v>
      </c>
      <c r="H197" s="1" t="s">
        <v>637</v>
      </c>
      <c r="I197" s="1" t="s">
        <v>638</v>
      </c>
      <c r="J197" s="1" t="str">
        <f t="shared" si="1"/>
        <v>Non-Compliant</v>
      </c>
      <c r="K197" s="1" t="str">
        <f t="shared" si="2"/>
        <v>Non-Incentive</v>
      </c>
      <c r="L197" s="1" t="str">
        <f t="shared" si="3"/>
        <v>TUG</v>
      </c>
      <c r="M197" s="1">
        <f t="shared" si="4"/>
        <v>3</v>
      </c>
      <c r="N197" s="1">
        <f t="shared" si="5"/>
        <v>2017</v>
      </c>
    </row>
    <row r="198" ht="15.75" customHeight="1">
      <c r="A198" s="1" t="s">
        <v>14</v>
      </c>
      <c r="B198" s="1">
        <v>8848896.0</v>
      </c>
      <c r="C198" s="1" t="s">
        <v>821</v>
      </c>
      <c r="D198" s="1" t="s">
        <v>822</v>
      </c>
      <c r="E198" s="1" t="s">
        <v>823</v>
      </c>
      <c r="F198" s="1" t="s">
        <v>824</v>
      </c>
      <c r="G198" s="1" t="s">
        <v>19</v>
      </c>
      <c r="H198" s="1" t="s">
        <v>825</v>
      </c>
      <c r="I198" s="1" t="s">
        <v>826</v>
      </c>
      <c r="J198" s="1" t="str">
        <f t="shared" si="1"/>
        <v>Non-Compliant</v>
      </c>
      <c r="K198" s="1" t="str">
        <f t="shared" si="2"/>
        <v>Non-Incentive</v>
      </c>
      <c r="L198" s="1" t="str">
        <f t="shared" si="3"/>
        <v>TUG</v>
      </c>
      <c r="M198" s="1">
        <f t="shared" si="4"/>
        <v>3</v>
      </c>
      <c r="N198" s="1">
        <f t="shared" si="5"/>
        <v>2017</v>
      </c>
    </row>
    <row r="199" ht="15.75" customHeight="1">
      <c r="A199" s="1" t="s">
        <v>14</v>
      </c>
      <c r="B199" s="1">
        <v>8708114.0</v>
      </c>
      <c r="C199" s="1" t="s">
        <v>753</v>
      </c>
      <c r="D199" s="1" t="s">
        <v>758</v>
      </c>
      <c r="E199" s="1" t="s">
        <v>759</v>
      </c>
      <c r="F199" s="1" t="s">
        <v>760</v>
      </c>
      <c r="G199" s="1" t="s">
        <v>37</v>
      </c>
      <c r="H199" s="1" t="s">
        <v>761</v>
      </c>
      <c r="I199" s="1" t="s">
        <v>762</v>
      </c>
      <c r="J199" s="1" t="str">
        <f t="shared" si="1"/>
        <v>Non-Compliant</v>
      </c>
      <c r="K199" s="1" t="str">
        <f t="shared" si="2"/>
        <v>Non-Incentive</v>
      </c>
      <c r="L199" s="1" t="str">
        <f t="shared" si="3"/>
        <v>TUG</v>
      </c>
      <c r="M199" s="1">
        <f t="shared" si="4"/>
        <v>3</v>
      </c>
      <c r="N199" s="1">
        <f t="shared" si="5"/>
        <v>2017</v>
      </c>
    </row>
    <row r="200" ht="15.75" customHeight="1">
      <c r="A200" s="1" t="s">
        <v>14</v>
      </c>
      <c r="B200" s="1">
        <v>8660236.0</v>
      </c>
      <c r="C200" s="1" t="s">
        <v>736</v>
      </c>
      <c r="D200" s="1" t="s">
        <v>737</v>
      </c>
      <c r="E200" s="1" t="s">
        <v>738</v>
      </c>
      <c r="F200" s="1" t="s">
        <v>739</v>
      </c>
      <c r="G200" s="1" t="s">
        <v>19</v>
      </c>
      <c r="H200" s="1" t="s">
        <v>740</v>
      </c>
      <c r="I200" s="1" t="s">
        <v>741</v>
      </c>
      <c r="J200" s="1" t="str">
        <f t="shared" si="1"/>
        <v>Non-Compliant</v>
      </c>
      <c r="K200" s="1" t="str">
        <f t="shared" si="2"/>
        <v>Non-Incentive</v>
      </c>
      <c r="L200" s="1" t="str">
        <f t="shared" si="3"/>
        <v>TUG</v>
      </c>
      <c r="M200" s="1">
        <f t="shared" si="4"/>
        <v>3</v>
      </c>
      <c r="N200" s="1">
        <f t="shared" si="5"/>
        <v>2017</v>
      </c>
    </row>
    <row r="201" ht="15.75" customHeight="1">
      <c r="A201" s="1" t="s">
        <v>14</v>
      </c>
      <c r="B201" s="1">
        <v>8325105.0</v>
      </c>
      <c r="C201" s="1" t="s">
        <v>504</v>
      </c>
      <c r="D201" s="1" t="s">
        <v>514</v>
      </c>
      <c r="E201" s="1" t="s">
        <v>515</v>
      </c>
      <c r="F201" s="1" t="s">
        <v>516</v>
      </c>
      <c r="G201" s="1" t="s">
        <v>19</v>
      </c>
      <c r="H201" s="1" t="s">
        <v>517</v>
      </c>
      <c r="I201" s="1" t="s">
        <v>518</v>
      </c>
      <c r="J201" s="1" t="str">
        <f t="shared" si="1"/>
        <v>Non-Compliant</v>
      </c>
      <c r="K201" s="1" t="str">
        <f t="shared" si="2"/>
        <v>Non-Incentive</v>
      </c>
      <c r="L201" s="1" t="str">
        <f t="shared" si="3"/>
        <v>TUG</v>
      </c>
      <c r="M201" s="1">
        <f t="shared" si="4"/>
        <v>3</v>
      </c>
      <c r="N201" s="1">
        <f t="shared" si="5"/>
        <v>2017</v>
      </c>
    </row>
    <row r="202" ht="15.75" customHeight="1">
      <c r="A202" s="1" t="s">
        <v>14</v>
      </c>
      <c r="B202" s="1">
        <v>8661641.0</v>
      </c>
      <c r="C202" s="1" t="s">
        <v>736</v>
      </c>
      <c r="D202" s="1" t="s">
        <v>742</v>
      </c>
      <c r="E202" s="1" t="s">
        <v>743</v>
      </c>
      <c r="F202" s="1" t="s">
        <v>744</v>
      </c>
      <c r="G202" s="1" t="s">
        <v>37</v>
      </c>
      <c r="H202" s="1" t="s">
        <v>745</v>
      </c>
      <c r="I202" s="1" t="s">
        <v>746</v>
      </c>
      <c r="J202" s="1" t="str">
        <f t="shared" si="1"/>
        <v>Non-Compliant</v>
      </c>
      <c r="K202" s="1" t="str">
        <f t="shared" si="2"/>
        <v>Non-Incentive</v>
      </c>
      <c r="L202" s="1" t="str">
        <f t="shared" si="3"/>
        <v>TUG</v>
      </c>
      <c r="M202" s="1">
        <f t="shared" si="4"/>
        <v>3</v>
      </c>
      <c r="N202" s="1">
        <f t="shared" si="5"/>
        <v>2017</v>
      </c>
    </row>
    <row r="203" ht="15.75" customHeight="1">
      <c r="A203" s="1" t="s">
        <v>14</v>
      </c>
      <c r="B203" s="1">
        <v>8796298.0</v>
      </c>
      <c r="C203" s="1" t="s">
        <v>804</v>
      </c>
      <c r="D203" s="1" t="s">
        <v>810</v>
      </c>
      <c r="E203" s="1" t="s">
        <v>811</v>
      </c>
      <c r="F203" s="1" t="s">
        <v>812</v>
      </c>
      <c r="G203" s="1" t="s">
        <v>37</v>
      </c>
      <c r="H203" s="1" t="s">
        <v>813</v>
      </c>
      <c r="I203" s="1" t="s">
        <v>814</v>
      </c>
      <c r="J203" s="1" t="str">
        <f t="shared" si="1"/>
        <v>Non-Compliant</v>
      </c>
      <c r="K203" s="1" t="str">
        <f t="shared" si="2"/>
        <v>Non-Incentive</v>
      </c>
      <c r="L203" s="1" t="str">
        <f t="shared" si="3"/>
        <v>TUG</v>
      </c>
      <c r="M203" s="1">
        <f t="shared" si="4"/>
        <v>3</v>
      </c>
      <c r="N203" s="1">
        <f t="shared" si="5"/>
        <v>2017</v>
      </c>
    </row>
    <row r="204" ht="15.75" customHeight="1">
      <c r="A204" s="1" t="s">
        <v>14</v>
      </c>
      <c r="B204" s="1">
        <v>8794182.0</v>
      </c>
      <c r="C204" s="1" t="s">
        <v>804</v>
      </c>
      <c r="D204" s="1" t="s">
        <v>805</v>
      </c>
      <c r="E204" s="1" t="s">
        <v>806</v>
      </c>
      <c r="F204" s="1" t="s">
        <v>807</v>
      </c>
      <c r="G204" s="1" t="s">
        <v>19</v>
      </c>
      <c r="H204" s="1" t="s">
        <v>808</v>
      </c>
      <c r="I204" s="1" t="s">
        <v>809</v>
      </c>
      <c r="J204" s="1" t="str">
        <f t="shared" si="1"/>
        <v>Non-Compliant</v>
      </c>
      <c r="K204" s="1" t="str">
        <f t="shared" si="2"/>
        <v>Non-Incentive</v>
      </c>
      <c r="L204" s="1" t="str">
        <f t="shared" si="3"/>
        <v>TUG</v>
      </c>
      <c r="M204" s="1">
        <f t="shared" si="4"/>
        <v>3</v>
      </c>
      <c r="N204" s="1">
        <f t="shared" si="5"/>
        <v>2017</v>
      </c>
    </row>
    <row r="205" ht="15.75" customHeight="1">
      <c r="A205" s="1" t="s">
        <v>14</v>
      </c>
      <c r="B205" s="1">
        <v>8999430.0</v>
      </c>
      <c r="C205" s="1" t="s">
        <v>906</v>
      </c>
      <c r="D205" s="1" t="s">
        <v>907</v>
      </c>
      <c r="E205" s="1" t="s">
        <v>908</v>
      </c>
      <c r="F205" s="1" t="s">
        <v>909</v>
      </c>
      <c r="G205" s="1" t="s">
        <v>19</v>
      </c>
      <c r="H205" s="1" t="s">
        <v>910</v>
      </c>
      <c r="I205" s="1" t="s">
        <v>911</v>
      </c>
      <c r="J205" s="1" t="str">
        <f t="shared" si="1"/>
        <v>Non-Compliant</v>
      </c>
      <c r="K205" s="1" t="str">
        <f t="shared" si="2"/>
        <v>Non-Incentive</v>
      </c>
      <c r="L205" s="1" t="str">
        <f t="shared" si="3"/>
        <v>TUG</v>
      </c>
      <c r="M205" s="1">
        <f t="shared" si="4"/>
        <v>3</v>
      </c>
      <c r="N205" s="1">
        <f t="shared" si="5"/>
        <v>2017</v>
      </c>
    </row>
    <row r="206" ht="15.75" customHeight="1">
      <c r="A206" s="1" t="s">
        <v>14</v>
      </c>
      <c r="B206" s="1">
        <v>9064900.0</v>
      </c>
      <c r="C206" s="1" t="s">
        <v>934</v>
      </c>
      <c r="D206" s="1" t="s">
        <v>935</v>
      </c>
      <c r="E206" s="1" t="s">
        <v>936</v>
      </c>
      <c r="F206" s="1" t="s">
        <v>937</v>
      </c>
      <c r="G206" s="1" t="s">
        <v>19</v>
      </c>
      <c r="H206" s="1" t="s">
        <v>938</v>
      </c>
      <c r="I206" s="1" t="s">
        <v>939</v>
      </c>
      <c r="J206" s="1" t="str">
        <f t="shared" si="1"/>
        <v>Non-Compliant</v>
      </c>
      <c r="K206" s="1" t="str">
        <f t="shared" si="2"/>
        <v>Non-Incentive</v>
      </c>
      <c r="L206" s="1" t="str">
        <f t="shared" si="3"/>
        <v>TUG</v>
      </c>
      <c r="M206" s="1">
        <f t="shared" si="4"/>
        <v>3</v>
      </c>
      <c r="N206" s="1">
        <f t="shared" si="5"/>
        <v>2017</v>
      </c>
    </row>
    <row r="207" ht="15.75" customHeight="1">
      <c r="A207" s="1" t="s">
        <v>14</v>
      </c>
      <c r="B207" s="1">
        <v>9098433.0</v>
      </c>
      <c r="C207" s="1" t="s">
        <v>945</v>
      </c>
      <c r="D207" s="1" t="s">
        <v>963</v>
      </c>
      <c r="E207" s="1" t="s">
        <v>900</v>
      </c>
      <c r="F207" s="1" t="s">
        <v>964</v>
      </c>
      <c r="G207" s="1" t="s">
        <v>19</v>
      </c>
      <c r="H207" s="1" t="s">
        <v>965</v>
      </c>
      <c r="I207" s="1" t="s">
        <v>939</v>
      </c>
      <c r="J207" s="1" t="str">
        <f t="shared" si="1"/>
        <v>Non-Compliant</v>
      </c>
      <c r="K207" s="1" t="str">
        <f t="shared" si="2"/>
        <v>Non-Incentive</v>
      </c>
      <c r="L207" s="1" t="str">
        <f t="shared" si="3"/>
        <v>TUG</v>
      </c>
      <c r="M207" s="1">
        <f t="shared" si="4"/>
        <v>3</v>
      </c>
      <c r="N207" s="1">
        <f t="shared" si="5"/>
        <v>2017</v>
      </c>
    </row>
    <row r="208" ht="15.75" customHeight="1">
      <c r="A208" s="1" t="s">
        <v>14</v>
      </c>
      <c r="B208" s="1">
        <v>9122323.0</v>
      </c>
      <c r="C208" s="1" t="s">
        <v>966</v>
      </c>
      <c r="D208" s="1" t="s">
        <v>967</v>
      </c>
      <c r="E208" s="1" t="s">
        <v>947</v>
      </c>
      <c r="F208" s="1" t="s">
        <v>964</v>
      </c>
      <c r="G208" s="1" t="s">
        <v>37</v>
      </c>
      <c r="H208" s="1" t="s">
        <v>968</v>
      </c>
      <c r="I208" s="1" t="s">
        <v>939</v>
      </c>
      <c r="J208" s="1" t="str">
        <f t="shared" si="1"/>
        <v>Non-Compliant</v>
      </c>
      <c r="K208" s="1" t="str">
        <f t="shared" si="2"/>
        <v>Non-Incentive</v>
      </c>
      <c r="L208" s="1" t="str">
        <f t="shared" si="3"/>
        <v>TUG</v>
      </c>
      <c r="M208" s="1">
        <f t="shared" si="4"/>
        <v>3</v>
      </c>
      <c r="N208" s="1">
        <f t="shared" si="5"/>
        <v>2017</v>
      </c>
    </row>
    <row r="209" ht="15.75" customHeight="1">
      <c r="A209" s="1" t="s">
        <v>14</v>
      </c>
      <c r="B209" s="1">
        <v>9150741.0</v>
      </c>
      <c r="C209" s="1" t="s">
        <v>974</v>
      </c>
      <c r="D209" s="1" t="s">
        <v>983</v>
      </c>
      <c r="E209" s="1" t="s">
        <v>900</v>
      </c>
      <c r="F209" s="1" t="s">
        <v>984</v>
      </c>
      <c r="G209" s="1" t="s">
        <v>19</v>
      </c>
      <c r="H209" s="1" t="s">
        <v>985</v>
      </c>
      <c r="I209" s="1" t="s">
        <v>986</v>
      </c>
      <c r="J209" s="1" t="str">
        <f t="shared" si="1"/>
        <v>Non-Compliant</v>
      </c>
      <c r="K209" s="1" t="str">
        <f t="shared" si="2"/>
        <v>Non-Incentive</v>
      </c>
      <c r="L209" s="1" t="str">
        <f t="shared" si="3"/>
        <v>TUG</v>
      </c>
      <c r="M209" s="1">
        <f t="shared" si="4"/>
        <v>3</v>
      </c>
      <c r="N209" s="1">
        <f t="shared" si="5"/>
        <v>2017</v>
      </c>
    </row>
    <row r="210" ht="15.75" customHeight="1">
      <c r="A210" s="1" t="s">
        <v>14</v>
      </c>
      <c r="B210" s="1">
        <v>8775656.0</v>
      </c>
      <c r="C210" s="1" t="s">
        <v>790</v>
      </c>
      <c r="D210" s="1" t="s">
        <v>791</v>
      </c>
      <c r="E210" s="1" t="s">
        <v>792</v>
      </c>
      <c r="F210" s="1" t="s">
        <v>793</v>
      </c>
      <c r="G210" s="1" t="s">
        <v>37</v>
      </c>
      <c r="H210" s="1" t="s">
        <v>794</v>
      </c>
      <c r="I210" s="1" t="s">
        <v>795</v>
      </c>
      <c r="J210" s="1" t="str">
        <f t="shared" si="1"/>
        <v>Non-Compliant</v>
      </c>
      <c r="K210" s="1" t="str">
        <f t="shared" si="2"/>
        <v>Non-Incentive</v>
      </c>
      <c r="L210" s="1" t="str">
        <f t="shared" si="3"/>
        <v>TUG</v>
      </c>
      <c r="M210" s="1">
        <f t="shared" si="4"/>
        <v>3</v>
      </c>
      <c r="N210" s="1">
        <f t="shared" si="5"/>
        <v>2017</v>
      </c>
    </row>
    <row r="211" ht="15.75" customHeight="1">
      <c r="A211" s="1" t="s">
        <v>14</v>
      </c>
      <c r="B211" s="1">
        <v>9161051.0</v>
      </c>
      <c r="C211" s="1" t="s">
        <v>987</v>
      </c>
      <c r="D211" s="1" t="s">
        <v>988</v>
      </c>
      <c r="E211" s="1" t="s">
        <v>989</v>
      </c>
      <c r="F211" s="1" t="s">
        <v>990</v>
      </c>
      <c r="G211" s="1" t="s">
        <v>37</v>
      </c>
      <c r="H211" s="1" t="s">
        <v>991</v>
      </c>
      <c r="I211" s="1" t="s">
        <v>992</v>
      </c>
      <c r="J211" s="1" t="str">
        <f t="shared" si="1"/>
        <v>Non-Compliant</v>
      </c>
      <c r="K211" s="1" t="str">
        <f t="shared" si="2"/>
        <v>Non-Incentive</v>
      </c>
      <c r="L211" s="1" t="str">
        <f t="shared" si="3"/>
        <v>TUG</v>
      </c>
      <c r="M211" s="1">
        <f t="shared" si="4"/>
        <v>3</v>
      </c>
      <c r="N211" s="1">
        <f t="shared" si="5"/>
        <v>2017</v>
      </c>
    </row>
    <row r="212" ht="15.75" customHeight="1">
      <c r="A212" s="1" t="s">
        <v>14</v>
      </c>
      <c r="B212" s="1">
        <v>8937407.0</v>
      </c>
      <c r="C212" s="1" t="s">
        <v>867</v>
      </c>
      <c r="D212" s="1" t="s">
        <v>868</v>
      </c>
      <c r="E212" s="1" t="s">
        <v>869</v>
      </c>
      <c r="F212" s="1" t="s">
        <v>870</v>
      </c>
      <c r="G212" s="1" t="s">
        <v>19</v>
      </c>
      <c r="H212" s="1" t="s">
        <v>871</v>
      </c>
      <c r="I212" s="1" t="s">
        <v>872</v>
      </c>
      <c r="J212" s="1" t="str">
        <f t="shared" si="1"/>
        <v>Non-Compliant</v>
      </c>
      <c r="K212" s="1" t="str">
        <f t="shared" si="2"/>
        <v>Non-Incentive</v>
      </c>
      <c r="L212" s="1" t="str">
        <f t="shared" si="3"/>
        <v>TUG</v>
      </c>
      <c r="M212" s="1">
        <f t="shared" si="4"/>
        <v>3</v>
      </c>
      <c r="N212" s="1">
        <f t="shared" si="5"/>
        <v>2017</v>
      </c>
    </row>
    <row r="213" ht="15.75" customHeight="1">
      <c r="A213" s="1" t="s">
        <v>14</v>
      </c>
      <c r="B213" s="1">
        <v>9049883.0</v>
      </c>
      <c r="C213" s="1" t="s">
        <v>923</v>
      </c>
      <c r="D213" s="1" t="s">
        <v>929</v>
      </c>
      <c r="E213" s="1" t="s">
        <v>930</v>
      </c>
      <c r="F213" s="1" t="s">
        <v>931</v>
      </c>
      <c r="G213" s="1" t="s">
        <v>37</v>
      </c>
      <c r="H213" s="1" t="s">
        <v>932</v>
      </c>
      <c r="I213" s="1" t="s">
        <v>933</v>
      </c>
      <c r="J213" s="1" t="str">
        <f t="shared" si="1"/>
        <v>Non-Compliant</v>
      </c>
      <c r="K213" s="1" t="str">
        <f t="shared" si="2"/>
        <v>Non-Incentive</v>
      </c>
      <c r="L213" s="1" t="str">
        <f t="shared" si="3"/>
        <v>TUG</v>
      </c>
      <c r="M213" s="1">
        <f t="shared" si="4"/>
        <v>3</v>
      </c>
      <c r="N213" s="1">
        <f t="shared" si="5"/>
        <v>2017</v>
      </c>
    </row>
    <row r="214" ht="15.75" customHeight="1">
      <c r="A214" s="1" t="s">
        <v>14</v>
      </c>
      <c r="B214" s="1">
        <v>9203657.0</v>
      </c>
      <c r="C214" s="1" t="s">
        <v>993</v>
      </c>
      <c r="D214" s="1" t="s">
        <v>994</v>
      </c>
      <c r="E214" s="1" t="s">
        <v>995</v>
      </c>
      <c r="F214" s="1" t="s">
        <v>996</v>
      </c>
      <c r="G214" s="1" t="s">
        <v>37</v>
      </c>
      <c r="H214" s="1" t="s">
        <v>997</v>
      </c>
      <c r="I214" s="1" t="s">
        <v>998</v>
      </c>
      <c r="J214" s="1" t="str">
        <f t="shared" si="1"/>
        <v>Non-Compliant</v>
      </c>
      <c r="K214" s="1" t="str">
        <f t="shared" si="2"/>
        <v>Non-Incentive</v>
      </c>
      <c r="L214" s="1" t="str">
        <f t="shared" si="3"/>
        <v>TUG</v>
      </c>
      <c r="M214" s="1">
        <f t="shared" si="4"/>
        <v>3</v>
      </c>
      <c r="N214" s="1">
        <f t="shared" si="5"/>
        <v>2017</v>
      </c>
    </row>
    <row r="215" ht="15.75" customHeight="1">
      <c r="A215" s="1" t="s">
        <v>14</v>
      </c>
      <c r="B215" s="1">
        <v>9330767.0</v>
      </c>
      <c r="C215" s="1" t="s">
        <v>1024</v>
      </c>
      <c r="D215" s="1" t="s">
        <v>1034</v>
      </c>
      <c r="E215" s="1" t="s">
        <v>1035</v>
      </c>
      <c r="F215" s="1" t="s">
        <v>1036</v>
      </c>
      <c r="G215" s="1" t="s">
        <v>37</v>
      </c>
      <c r="H215" s="1" t="s">
        <v>1037</v>
      </c>
      <c r="I215" s="1" t="s">
        <v>998</v>
      </c>
      <c r="J215" s="1" t="str">
        <f t="shared" si="1"/>
        <v>Non-Compliant</v>
      </c>
      <c r="K215" s="1" t="str">
        <f t="shared" si="2"/>
        <v>Non-Incentive</v>
      </c>
      <c r="L215" s="1" t="str">
        <f t="shared" si="3"/>
        <v>TUG</v>
      </c>
      <c r="M215" s="1">
        <f t="shared" si="4"/>
        <v>3</v>
      </c>
      <c r="N215" s="1">
        <f t="shared" si="5"/>
        <v>2017</v>
      </c>
    </row>
    <row r="216" ht="15.75" customHeight="1">
      <c r="A216" s="1" t="s">
        <v>14</v>
      </c>
      <c r="B216" s="1">
        <v>8752612.0</v>
      </c>
      <c r="C216" s="1" t="s">
        <v>768</v>
      </c>
      <c r="D216" s="1" t="s">
        <v>780</v>
      </c>
      <c r="E216" s="1" t="s">
        <v>781</v>
      </c>
      <c r="F216" s="1" t="s">
        <v>782</v>
      </c>
      <c r="G216" s="1" t="s">
        <v>19</v>
      </c>
      <c r="H216" s="1" t="s">
        <v>783</v>
      </c>
      <c r="I216" s="1" t="s">
        <v>784</v>
      </c>
      <c r="J216" s="1" t="str">
        <f t="shared" si="1"/>
        <v>Non-Compliant</v>
      </c>
      <c r="K216" s="1" t="str">
        <f t="shared" si="2"/>
        <v>Non-Incentive</v>
      </c>
      <c r="L216" s="1" t="str">
        <f t="shared" si="3"/>
        <v>TUG</v>
      </c>
      <c r="M216" s="1">
        <f t="shared" si="4"/>
        <v>3</v>
      </c>
      <c r="N216" s="1">
        <f t="shared" si="5"/>
        <v>2017</v>
      </c>
    </row>
    <row r="217" ht="15.75" customHeight="1">
      <c r="A217" s="1" t="s">
        <v>14</v>
      </c>
      <c r="B217" s="1">
        <v>8961510.0</v>
      </c>
      <c r="C217" s="1" t="s">
        <v>880</v>
      </c>
      <c r="D217" s="1" t="s">
        <v>881</v>
      </c>
      <c r="E217" s="1" t="s">
        <v>882</v>
      </c>
      <c r="F217" s="1" t="s">
        <v>883</v>
      </c>
      <c r="G217" s="1" t="s">
        <v>884</v>
      </c>
      <c r="H217" s="1" t="s">
        <v>885</v>
      </c>
      <c r="I217" s="1" t="s">
        <v>886</v>
      </c>
      <c r="J217" s="1" t="str">
        <f t="shared" si="1"/>
        <v>Non-Compliant</v>
      </c>
      <c r="K217" s="1" t="str">
        <f t="shared" si="2"/>
        <v>Non-Incentive</v>
      </c>
      <c r="L217" s="1" t="str">
        <f t="shared" si="3"/>
        <v>TUG</v>
      </c>
      <c r="M217" s="1">
        <f t="shared" si="4"/>
        <v>3</v>
      </c>
      <c r="N217" s="1">
        <f t="shared" si="5"/>
        <v>2017</v>
      </c>
    </row>
    <row r="218" ht="15.75" customHeight="1">
      <c r="A218" s="1" t="s">
        <v>14</v>
      </c>
      <c r="B218" s="1">
        <v>9086361.0</v>
      </c>
      <c r="C218" s="1" t="s">
        <v>945</v>
      </c>
      <c r="D218" s="1" t="s">
        <v>946</v>
      </c>
      <c r="E218" s="1" t="s">
        <v>947</v>
      </c>
      <c r="F218" s="1" t="s">
        <v>948</v>
      </c>
      <c r="G218" s="1" t="s">
        <v>37</v>
      </c>
      <c r="H218" s="1" t="s">
        <v>949</v>
      </c>
      <c r="I218" s="1" t="s">
        <v>950</v>
      </c>
      <c r="J218" s="1" t="str">
        <f t="shared" si="1"/>
        <v>Non-Compliant</v>
      </c>
      <c r="K218" s="1" t="str">
        <f t="shared" si="2"/>
        <v>Non-Incentive</v>
      </c>
      <c r="L218" s="1" t="str">
        <f t="shared" si="3"/>
        <v>TUG</v>
      </c>
      <c r="M218" s="1">
        <f t="shared" si="4"/>
        <v>3</v>
      </c>
      <c r="N218" s="1">
        <f t="shared" si="5"/>
        <v>2017</v>
      </c>
    </row>
    <row r="219" ht="15.75" customHeight="1">
      <c r="A219" s="1" t="s">
        <v>14</v>
      </c>
      <c r="B219" s="1">
        <v>9212445.0</v>
      </c>
      <c r="C219" s="1" t="s">
        <v>999</v>
      </c>
      <c r="D219" s="1" t="s">
        <v>1000</v>
      </c>
      <c r="E219" s="1" t="s">
        <v>1001</v>
      </c>
      <c r="F219" s="1" t="s">
        <v>1002</v>
      </c>
      <c r="G219" s="1" t="s">
        <v>19</v>
      </c>
      <c r="H219" s="1" t="s">
        <v>1003</v>
      </c>
      <c r="I219" s="1" t="s">
        <v>1004</v>
      </c>
      <c r="J219" s="1" t="str">
        <f t="shared" si="1"/>
        <v>Non-Compliant</v>
      </c>
      <c r="K219" s="1" t="str">
        <f t="shared" si="2"/>
        <v>Non-Incentive</v>
      </c>
      <c r="L219" s="1" t="str">
        <f t="shared" si="3"/>
        <v>TUG</v>
      </c>
      <c r="M219" s="1">
        <f t="shared" si="4"/>
        <v>3</v>
      </c>
      <c r="N219" s="1">
        <f t="shared" si="5"/>
        <v>2017</v>
      </c>
    </row>
    <row r="220" ht="15.75" customHeight="1">
      <c r="A220" s="1" t="s">
        <v>14</v>
      </c>
      <c r="B220" s="1">
        <v>9346238.0</v>
      </c>
      <c r="C220" s="1" t="s">
        <v>1038</v>
      </c>
      <c r="D220" s="1" t="s">
        <v>1043</v>
      </c>
      <c r="E220" s="1" t="s">
        <v>1044</v>
      </c>
      <c r="F220" s="1" t="s">
        <v>1045</v>
      </c>
      <c r="G220" s="1" t="s">
        <v>37</v>
      </c>
      <c r="H220" s="1" t="s">
        <v>1046</v>
      </c>
      <c r="I220" s="1" t="s">
        <v>1047</v>
      </c>
      <c r="J220" s="1" t="str">
        <f t="shared" si="1"/>
        <v>Non-Compliant</v>
      </c>
      <c r="K220" s="1" t="str">
        <f t="shared" si="2"/>
        <v>Non-Incentive</v>
      </c>
      <c r="L220" s="1" t="str">
        <f t="shared" si="3"/>
        <v>TUG</v>
      </c>
      <c r="M220" s="1">
        <f t="shared" si="4"/>
        <v>3</v>
      </c>
      <c r="N220" s="1">
        <f t="shared" si="5"/>
        <v>2017</v>
      </c>
    </row>
    <row r="221" ht="15.75" customHeight="1">
      <c r="A221" s="1" t="s">
        <v>14</v>
      </c>
      <c r="B221" s="1">
        <v>9137886.0</v>
      </c>
      <c r="C221" s="1" t="s">
        <v>974</v>
      </c>
      <c r="D221" s="1" t="s">
        <v>979</v>
      </c>
      <c r="E221" s="1" t="s">
        <v>941</v>
      </c>
      <c r="F221" s="1" t="s">
        <v>980</v>
      </c>
      <c r="G221" s="1" t="s">
        <v>37</v>
      </c>
      <c r="H221" s="1" t="s">
        <v>981</v>
      </c>
      <c r="I221" s="1" t="s">
        <v>982</v>
      </c>
      <c r="J221" s="1" t="str">
        <f t="shared" si="1"/>
        <v>Non-Compliant</v>
      </c>
      <c r="K221" s="1" t="str">
        <f t="shared" si="2"/>
        <v>Non-Incentive</v>
      </c>
      <c r="L221" s="1" t="str">
        <f t="shared" si="3"/>
        <v>TUG</v>
      </c>
      <c r="M221" s="1">
        <f t="shared" si="4"/>
        <v>3</v>
      </c>
      <c r="N221" s="1">
        <f t="shared" si="5"/>
        <v>2017</v>
      </c>
    </row>
    <row r="222" ht="15.75" customHeight="1">
      <c r="A222" s="1" t="s">
        <v>14</v>
      </c>
      <c r="B222" s="1">
        <v>8961708.0</v>
      </c>
      <c r="C222" s="1" t="s">
        <v>880</v>
      </c>
      <c r="D222" s="1" t="s">
        <v>887</v>
      </c>
      <c r="E222" s="1" t="s">
        <v>888</v>
      </c>
      <c r="F222" s="1" t="s">
        <v>889</v>
      </c>
      <c r="G222" s="1" t="s">
        <v>19</v>
      </c>
      <c r="H222" s="1" t="s">
        <v>890</v>
      </c>
      <c r="I222" s="1" t="s">
        <v>891</v>
      </c>
      <c r="J222" s="1" t="str">
        <f t="shared" si="1"/>
        <v>Non-Compliant</v>
      </c>
      <c r="K222" s="1" t="str">
        <f t="shared" si="2"/>
        <v>Non-Incentive</v>
      </c>
      <c r="L222" s="1" t="str">
        <f t="shared" si="3"/>
        <v>TUG</v>
      </c>
      <c r="M222" s="1">
        <f t="shared" si="4"/>
        <v>3</v>
      </c>
      <c r="N222" s="1">
        <f t="shared" si="5"/>
        <v>2017</v>
      </c>
    </row>
    <row r="223" ht="15.75" customHeight="1">
      <c r="A223" s="1" t="s">
        <v>14</v>
      </c>
      <c r="B223" s="1">
        <v>8966600.0</v>
      </c>
      <c r="C223" s="1" t="s">
        <v>880</v>
      </c>
      <c r="D223" s="1" t="s">
        <v>896</v>
      </c>
      <c r="E223" s="1" t="s">
        <v>897</v>
      </c>
      <c r="F223" s="1" t="s">
        <v>889</v>
      </c>
      <c r="G223" s="1" t="s">
        <v>19</v>
      </c>
      <c r="H223" s="1" t="s">
        <v>898</v>
      </c>
      <c r="I223" s="1" t="s">
        <v>891</v>
      </c>
      <c r="J223" s="1" t="str">
        <f t="shared" si="1"/>
        <v>Non-Compliant</v>
      </c>
      <c r="K223" s="1" t="str">
        <f t="shared" si="2"/>
        <v>Non-Incentive</v>
      </c>
      <c r="L223" s="1" t="str">
        <f t="shared" si="3"/>
        <v>TUG</v>
      </c>
      <c r="M223" s="1">
        <f t="shared" si="4"/>
        <v>3</v>
      </c>
      <c r="N223" s="1">
        <f t="shared" si="5"/>
        <v>2017</v>
      </c>
    </row>
    <row r="224" ht="15.75" customHeight="1">
      <c r="A224" s="1" t="s">
        <v>14</v>
      </c>
      <c r="B224" s="1">
        <v>8967109.0</v>
      </c>
      <c r="C224" s="1" t="s">
        <v>880</v>
      </c>
      <c r="D224" s="1" t="s">
        <v>899</v>
      </c>
      <c r="E224" s="1" t="s">
        <v>900</v>
      </c>
      <c r="F224" s="1" t="s">
        <v>889</v>
      </c>
      <c r="G224" s="1" t="s">
        <v>19</v>
      </c>
      <c r="H224" s="1" t="s">
        <v>901</v>
      </c>
      <c r="I224" s="1" t="s">
        <v>891</v>
      </c>
      <c r="J224" s="1" t="str">
        <f t="shared" si="1"/>
        <v>Non-Compliant</v>
      </c>
      <c r="K224" s="1" t="str">
        <f t="shared" si="2"/>
        <v>Non-Incentive</v>
      </c>
      <c r="L224" s="1" t="str">
        <f t="shared" si="3"/>
        <v>TUG</v>
      </c>
      <c r="M224" s="1">
        <f t="shared" si="4"/>
        <v>3</v>
      </c>
      <c r="N224" s="1">
        <f t="shared" si="5"/>
        <v>2017</v>
      </c>
    </row>
    <row r="225" ht="15.75" customHeight="1">
      <c r="A225" s="1" t="s">
        <v>14</v>
      </c>
      <c r="B225" s="1">
        <v>9234919.0</v>
      </c>
      <c r="C225" s="1" t="s">
        <v>1014</v>
      </c>
      <c r="D225" s="1" t="s">
        <v>1015</v>
      </c>
      <c r="E225" s="1" t="s">
        <v>1016</v>
      </c>
      <c r="F225" s="1" t="s">
        <v>1017</v>
      </c>
      <c r="G225" s="1" t="s">
        <v>19</v>
      </c>
      <c r="H225" s="1" t="s">
        <v>1018</v>
      </c>
      <c r="I225" s="1" t="s">
        <v>891</v>
      </c>
      <c r="J225" s="1" t="str">
        <f t="shared" si="1"/>
        <v>Non-Compliant</v>
      </c>
      <c r="K225" s="1" t="str">
        <f t="shared" si="2"/>
        <v>Non-Incentive</v>
      </c>
      <c r="L225" s="1" t="str">
        <f t="shared" si="3"/>
        <v>TUG</v>
      </c>
      <c r="M225" s="1">
        <f t="shared" si="4"/>
        <v>3</v>
      </c>
      <c r="N225" s="1">
        <f t="shared" si="5"/>
        <v>2017</v>
      </c>
    </row>
    <row r="226" ht="15.75" customHeight="1">
      <c r="A226" s="1" t="s">
        <v>14</v>
      </c>
      <c r="B226" s="1">
        <v>9089004.0</v>
      </c>
      <c r="C226" s="1" t="s">
        <v>945</v>
      </c>
      <c r="D226" s="1" t="s">
        <v>951</v>
      </c>
      <c r="E226" s="1" t="s">
        <v>913</v>
      </c>
      <c r="F226" s="1" t="s">
        <v>952</v>
      </c>
      <c r="G226" s="1" t="s">
        <v>19</v>
      </c>
      <c r="H226" s="1" t="s">
        <v>953</v>
      </c>
      <c r="I226" s="1" t="s">
        <v>954</v>
      </c>
      <c r="J226" s="1" t="str">
        <f t="shared" si="1"/>
        <v>Non-Compliant</v>
      </c>
      <c r="K226" s="1" t="str">
        <f t="shared" si="2"/>
        <v>Non-Incentive</v>
      </c>
      <c r="L226" s="1" t="str">
        <f t="shared" si="3"/>
        <v>TUG</v>
      </c>
      <c r="M226" s="1">
        <f t="shared" si="4"/>
        <v>3</v>
      </c>
      <c r="N226" s="1">
        <f t="shared" si="5"/>
        <v>2017</v>
      </c>
    </row>
    <row r="227" ht="15.75" customHeight="1">
      <c r="A227" s="1" t="s">
        <v>14</v>
      </c>
      <c r="B227" s="1">
        <v>9492580.0</v>
      </c>
      <c r="C227" s="1" t="s">
        <v>1067</v>
      </c>
      <c r="D227" s="1" t="s">
        <v>1068</v>
      </c>
      <c r="E227" s="1" t="s">
        <v>1069</v>
      </c>
      <c r="F227" s="1" t="s">
        <v>1070</v>
      </c>
      <c r="G227" s="1" t="s">
        <v>19</v>
      </c>
      <c r="H227" s="1" t="s">
        <v>1071</v>
      </c>
      <c r="I227" s="1" t="s">
        <v>1072</v>
      </c>
      <c r="J227" s="1" t="str">
        <f t="shared" si="1"/>
        <v>Non-Compliant</v>
      </c>
      <c r="K227" s="1" t="str">
        <f t="shared" si="2"/>
        <v>Non-Incentive</v>
      </c>
      <c r="L227" s="1" t="str">
        <f t="shared" si="3"/>
        <v>TUG</v>
      </c>
      <c r="M227" s="1">
        <f t="shared" si="4"/>
        <v>3</v>
      </c>
      <c r="N227" s="1">
        <f t="shared" si="5"/>
        <v>2017</v>
      </c>
    </row>
    <row r="228" ht="15.75" customHeight="1">
      <c r="A228" s="1" t="s">
        <v>14</v>
      </c>
      <c r="B228" s="1">
        <v>9136843.0</v>
      </c>
      <c r="C228" s="1" t="s">
        <v>974</v>
      </c>
      <c r="D228" s="1" t="s">
        <v>975</v>
      </c>
      <c r="E228" s="1" t="s">
        <v>817</v>
      </c>
      <c r="F228" s="1" t="s">
        <v>976</v>
      </c>
      <c r="G228" s="1" t="s">
        <v>19</v>
      </c>
      <c r="H228" s="1" t="s">
        <v>977</v>
      </c>
      <c r="I228" s="1" t="s">
        <v>978</v>
      </c>
      <c r="J228" s="1" t="str">
        <f t="shared" si="1"/>
        <v>Non-Compliant</v>
      </c>
      <c r="K228" s="1" t="str">
        <f t="shared" si="2"/>
        <v>Non-Incentive</v>
      </c>
      <c r="L228" s="1" t="str">
        <f t="shared" si="3"/>
        <v>TUG</v>
      </c>
      <c r="M228" s="1">
        <f t="shared" si="4"/>
        <v>3</v>
      </c>
      <c r="N228" s="1">
        <f t="shared" si="5"/>
        <v>2017</v>
      </c>
    </row>
    <row r="229" ht="15.75" customHeight="1">
      <c r="A229" s="1" t="s">
        <v>14</v>
      </c>
      <c r="B229" s="1">
        <v>8340706.0</v>
      </c>
      <c r="C229" s="1" t="s">
        <v>504</v>
      </c>
      <c r="D229" s="1" t="s">
        <v>533</v>
      </c>
      <c r="E229" s="1" t="s">
        <v>534</v>
      </c>
      <c r="F229" s="1" t="s">
        <v>535</v>
      </c>
      <c r="G229" s="1" t="s">
        <v>19</v>
      </c>
      <c r="H229" s="1" t="s">
        <v>536</v>
      </c>
      <c r="I229" s="1" t="s">
        <v>537</v>
      </c>
      <c r="J229" s="1" t="str">
        <f t="shared" si="1"/>
        <v>Non-Compliant</v>
      </c>
      <c r="K229" s="1" t="str">
        <f t="shared" si="2"/>
        <v>Non-Incentive</v>
      </c>
      <c r="L229" s="1" t="str">
        <f t="shared" si="3"/>
        <v>TUG</v>
      </c>
      <c r="M229" s="1">
        <f t="shared" si="4"/>
        <v>3</v>
      </c>
      <c r="N229" s="1">
        <f t="shared" si="5"/>
        <v>2017</v>
      </c>
    </row>
    <row r="230" ht="15.75" customHeight="1">
      <c r="A230" s="1" t="s">
        <v>14</v>
      </c>
      <c r="B230" s="1">
        <v>9575454.0</v>
      </c>
      <c r="C230" s="1" t="s">
        <v>1098</v>
      </c>
      <c r="D230" s="1" t="s">
        <v>1109</v>
      </c>
      <c r="E230" s="1" t="s">
        <v>1100</v>
      </c>
      <c r="F230" s="1" t="s">
        <v>1110</v>
      </c>
      <c r="G230" s="1" t="s">
        <v>37</v>
      </c>
      <c r="H230" s="1" t="s">
        <v>1111</v>
      </c>
      <c r="I230" s="1" t="s">
        <v>1112</v>
      </c>
      <c r="J230" s="1" t="str">
        <f t="shared" si="1"/>
        <v>Non-Compliant</v>
      </c>
      <c r="K230" s="1" t="str">
        <f t="shared" si="2"/>
        <v>Non-Incentive</v>
      </c>
      <c r="L230" s="1" t="str">
        <f t="shared" si="3"/>
        <v>TUG</v>
      </c>
      <c r="M230" s="1">
        <f t="shared" si="4"/>
        <v>3</v>
      </c>
      <c r="N230" s="1">
        <f t="shared" si="5"/>
        <v>2017</v>
      </c>
    </row>
    <row r="231" ht="15.75" customHeight="1">
      <c r="A231" s="1" t="s">
        <v>14</v>
      </c>
      <c r="B231" s="1">
        <v>9725059.0</v>
      </c>
      <c r="C231" s="1" t="s">
        <v>1162</v>
      </c>
      <c r="D231" s="1" t="s">
        <v>1167</v>
      </c>
      <c r="E231" s="1" t="s">
        <v>1105</v>
      </c>
      <c r="F231" s="1" t="s">
        <v>1115</v>
      </c>
      <c r="G231" s="1" t="s">
        <v>19</v>
      </c>
      <c r="H231" s="1" t="s">
        <v>1168</v>
      </c>
      <c r="I231" s="1" t="s">
        <v>1169</v>
      </c>
      <c r="J231" s="1" t="str">
        <f t="shared" si="1"/>
        <v>Non-Compliant</v>
      </c>
      <c r="K231" s="1" t="str">
        <f t="shared" si="2"/>
        <v>Non-Incentive</v>
      </c>
      <c r="L231" s="1" t="str">
        <f t="shared" si="3"/>
        <v>TUG</v>
      </c>
      <c r="M231" s="1">
        <f t="shared" si="4"/>
        <v>3</v>
      </c>
      <c r="N231" s="1">
        <f t="shared" si="5"/>
        <v>2017</v>
      </c>
    </row>
    <row r="232" ht="15.75" customHeight="1">
      <c r="A232" s="1" t="s">
        <v>14</v>
      </c>
      <c r="B232" s="1">
        <v>9580505.0</v>
      </c>
      <c r="C232" s="1" t="s">
        <v>1098</v>
      </c>
      <c r="D232" s="1" t="s">
        <v>1113</v>
      </c>
      <c r="E232" s="1" t="s">
        <v>1114</v>
      </c>
      <c r="F232" s="1" t="s">
        <v>1115</v>
      </c>
      <c r="G232" s="1" t="s">
        <v>19</v>
      </c>
      <c r="H232" s="1" t="s">
        <v>1116</v>
      </c>
      <c r="I232" s="1" t="s">
        <v>1117</v>
      </c>
      <c r="J232" s="1" t="str">
        <f t="shared" si="1"/>
        <v>Non-Compliant</v>
      </c>
      <c r="K232" s="1" t="str">
        <f t="shared" si="2"/>
        <v>Non-Incentive</v>
      </c>
      <c r="L232" s="1" t="str">
        <f t="shared" si="3"/>
        <v>TUG</v>
      </c>
      <c r="M232" s="1">
        <f t="shared" si="4"/>
        <v>3</v>
      </c>
      <c r="N232" s="1">
        <f t="shared" si="5"/>
        <v>2017</v>
      </c>
    </row>
    <row r="233" ht="15.75" customHeight="1">
      <c r="A233" s="1" t="s">
        <v>14</v>
      </c>
      <c r="B233" s="1">
        <v>9531547.0</v>
      </c>
      <c r="C233" s="1" t="s">
        <v>1078</v>
      </c>
      <c r="D233" s="1" t="s">
        <v>1084</v>
      </c>
      <c r="E233" s="1" t="s">
        <v>1085</v>
      </c>
      <c r="F233" s="1" t="s">
        <v>1086</v>
      </c>
      <c r="G233" s="1" t="s">
        <v>37</v>
      </c>
      <c r="H233" s="1" t="s">
        <v>1087</v>
      </c>
      <c r="I233" s="1" t="s">
        <v>1088</v>
      </c>
      <c r="J233" s="1" t="str">
        <f t="shared" si="1"/>
        <v>Non-Compliant</v>
      </c>
      <c r="K233" s="1" t="str">
        <f t="shared" si="2"/>
        <v>Non-Incentive</v>
      </c>
      <c r="L233" s="1" t="str">
        <f t="shared" si="3"/>
        <v>TUG</v>
      </c>
      <c r="M233" s="1">
        <f t="shared" si="4"/>
        <v>3</v>
      </c>
      <c r="N233" s="1">
        <f t="shared" si="5"/>
        <v>2017</v>
      </c>
    </row>
    <row r="234" ht="15.75" customHeight="1">
      <c r="A234" s="1" t="s">
        <v>14</v>
      </c>
      <c r="B234" s="1">
        <v>9741196.0</v>
      </c>
      <c r="C234" s="1" t="s">
        <v>1174</v>
      </c>
      <c r="D234" s="1" t="s">
        <v>1184</v>
      </c>
      <c r="E234" s="1" t="s">
        <v>1105</v>
      </c>
      <c r="F234" s="1" t="s">
        <v>1185</v>
      </c>
      <c r="G234" s="1" t="s">
        <v>19</v>
      </c>
      <c r="H234" s="1" t="s">
        <v>1186</v>
      </c>
      <c r="I234" s="1" t="s">
        <v>1187</v>
      </c>
      <c r="J234" s="1" t="str">
        <f t="shared" si="1"/>
        <v>Non-Compliant</v>
      </c>
      <c r="K234" s="1" t="str">
        <f t="shared" si="2"/>
        <v>Non-Incentive</v>
      </c>
      <c r="L234" s="1" t="str">
        <f t="shared" si="3"/>
        <v>TUG</v>
      </c>
      <c r="M234" s="1">
        <f t="shared" si="4"/>
        <v>3</v>
      </c>
      <c r="N234" s="1">
        <f t="shared" si="5"/>
        <v>2017</v>
      </c>
    </row>
    <row r="235" ht="15.75" customHeight="1">
      <c r="A235" s="1" t="s">
        <v>14</v>
      </c>
      <c r="B235" s="1">
        <v>1031757.0</v>
      </c>
      <c r="C235" s="1" t="s">
        <v>1240</v>
      </c>
      <c r="D235" s="1" t="s">
        <v>1241</v>
      </c>
      <c r="E235" s="1" t="s">
        <v>1242</v>
      </c>
      <c r="F235" s="1" t="s">
        <v>1243</v>
      </c>
      <c r="G235" s="1" t="s">
        <v>19</v>
      </c>
      <c r="H235" s="1" t="s">
        <v>1244</v>
      </c>
      <c r="I235" s="1" t="s">
        <v>1245</v>
      </c>
      <c r="J235" s="1" t="str">
        <f t="shared" si="1"/>
        <v>Non-Compliant</v>
      </c>
      <c r="K235" s="1" t="str">
        <f t="shared" si="2"/>
        <v>Non-Incentive</v>
      </c>
      <c r="L235" s="1" t="str">
        <f t="shared" si="3"/>
        <v>TUG</v>
      </c>
      <c r="M235" s="1">
        <f t="shared" si="4"/>
        <v>3</v>
      </c>
      <c r="N235" s="1">
        <f t="shared" si="5"/>
        <v>2017</v>
      </c>
    </row>
    <row r="236" ht="15.75" customHeight="1">
      <c r="A236" s="1" t="s">
        <v>14</v>
      </c>
      <c r="B236" s="1">
        <v>9565498.0</v>
      </c>
      <c r="C236" s="1" t="s">
        <v>1098</v>
      </c>
      <c r="D236" s="1" t="s">
        <v>1099</v>
      </c>
      <c r="E236" s="1" t="s">
        <v>1100</v>
      </c>
      <c r="F236" s="1" t="s">
        <v>1101</v>
      </c>
      <c r="G236" s="1" t="s">
        <v>37</v>
      </c>
      <c r="H236" s="1" t="s">
        <v>1102</v>
      </c>
      <c r="I236" s="1" t="s">
        <v>1103</v>
      </c>
      <c r="J236" s="1" t="str">
        <f t="shared" si="1"/>
        <v>Non-Compliant</v>
      </c>
      <c r="K236" s="1" t="str">
        <f t="shared" si="2"/>
        <v>Non-Incentive</v>
      </c>
      <c r="L236" s="1" t="str">
        <f t="shared" si="3"/>
        <v>TUG</v>
      </c>
      <c r="M236" s="1">
        <f t="shared" si="4"/>
        <v>3</v>
      </c>
      <c r="N236" s="1">
        <f t="shared" si="5"/>
        <v>2017</v>
      </c>
    </row>
    <row r="237" ht="15.75" customHeight="1">
      <c r="A237" s="1" t="s">
        <v>14</v>
      </c>
      <c r="B237" s="1">
        <v>9597287.0</v>
      </c>
      <c r="C237" s="1" t="s">
        <v>1118</v>
      </c>
      <c r="D237" s="1" t="s">
        <v>1119</v>
      </c>
      <c r="E237" s="1" t="s">
        <v>1100</v>
      </c>
      <c r="F237" s="1" t="s">
        <v>1120</v>
      </c>
      <c r="G237" s="1" t="s">
        <v>37</v>
      </c>
      <c r="H237" s="1" t="s">
        <v>1121</v>
      </c>
      <c r="I237" s="1" t="s">
        <v>1122</v>
      </c>
      <c r="J237" s="1" t="str">
        <f t="shared" si="1"/>
        <v>Non-Compliant</v>
      </c>
      <c r="K237" s="1" t="str">
        <f t="shared" si="2"/>
        <v>Non-Incentive</v>
      </c>
      <c r="L237" s="1" t="str">
        <f t="shared" si="3"/>
        <v>TUG</v>
      </c>
      <c r="M237" s="1">
        <f t="shared" si="4"/>
        <v>3</v>
      </c>
      <c r="N237" s="1">
        <f t="shared" si="5"/>
        <v>2017</v>
      </c>
    </row>
    <row r="238" ht="15.75" customHeight="1">
      <c r="A238" s="1" t="s">
        <v>14</v>
      </c>
      <c r="B238" s="1">
        <v>9626392.0</v>
      </c>
      <c r="C238" s="1" t="s">
        <v>1133</v>
      </c>
      <c r="D238" s="1" t="s">
        <v>1134</v>
      </c>
      <c r="E238" s="1" t="s">
        <v>1135</v>
      </c>
      <c r="F238" s="1" t="s">
        <v>1136</v>
      </c>
      <c r="G238" s="1" t="s">
        <v>19</v>
      </c>
      <c r="H238" s="1" t="s">
        <v>1137</v>
      </c>
      <c r="I238" s="1" t="s">
        <v>1138</v>
      </c>
      <c r="J238" s="1" t="str">
        <f t="shared" si="1"/>
        <v>Non-Compliant</v>
      </c>
      <c r="K238" s="1" t="str">
        <f t="shared" si="2"/>
        <v>Non-Incentive</v>
      </c>
      <c r="L238" s="1" t="str">
        <f t="shared" si="3"/>
        <v>TUG</v>
      </c>
      <c r="M238" s="1">
        <f t="shared" si="4"/>
        <v>3</v>
      </c>
      <c r="N238" s="1">
        <f t="shared" si="5"/>
        <v>2017</v>
      </c>
    </row>
    <row r="239" ht="15.75" customHeight="1">
      <c r="A239" s="1" t="s">
        <v>14</v>
      </c>
      <c r="B239" s="1">
        <v>9535945.0</v>
      </c>
      <c r="C239" s="1" t="s">
        <v>1078</v>
      </c>
      <c r="D239" s="1" t="s">
        <v>1089</v>
      </c>
      <c r="E239" s="1" t="s">
        <v>1030</v>
      </c>
      <c r="F239" s="1" t="s">
        <v>1090</v>
      </c>
      <c r="G239" s="1" t="s">
        <v>19</v>
      </c>
      <c r="H239" s="1" t="s">
        <v>1091</v>
      </c>
      <c r="I239" s="1" t="s">
        <v>1092</v>
      </c>
      <c r="J239" s="1" t="str">
        <f t="shared" si="1"/>
        <v>Non-Compliant</v>
      </c>
      <c r="K239" s="1" t="str">
        <f t="shared" si="2"/>
        <v>Non-Incentive</v>
      </c>
      <c r="L239" s="1" t="str">
        <f t="shared" si="3"/>
        <v>TUG</v>
      </c>
      <c r="M239" s="1">
        <f t="shared" si="4"/>
        <v>3</v>
      </c>
      <c r="N239" s="1">
        <f t="shared" si="5"/>
        <v>2017</v>
      </c>
    </row>
    <row r="240" ht="15.75" customHeight="1">
      <c r="A240" s="1" t="s">
        <v>14</v>
      </c>
      <c r="B240" s="1">
        <v>9226280.0</v>
      </c>
      <c r="C240" s="1" t="s">
        <v>999</v>
      </c>
      <c r="D240" s="1" t="s">
        <v>1009</v>
      </c>
      <c r="E240" s="1" t="s">
        <v>1010</v>
      </c>
      <c r="F240" s="1" t="s">
        <v>1011</v>
      </c>
      <c r="G240" s="1" t="s">
        <v>19</v>
      </c>
      <c r="H240" s="1" t="s">
        <v>1012</v>
      </c>
      <c r="I240" s="1" t="s">
        <v>1013</v>
      </c>
      <c r="J240" s="1" t="str">
        <f t="shared" si="1"/>
        <v>Non-Compliant</v>
      </c>
      <c r="K240" s="1" t="str">
        <f t="shared" si="2"/>
        <v>Non-Incentive</v>
      </c>
      <c r="L240" s="1" t="str">
        <f t="shared" si="3"/>
        <v>TUG</v>
      </c>
      <c r="M240" s="1">
        <f t="shared" si="4"/>
        <v>3</v>
      </c>
      <c r="N240" s="1">
        <f t="shared" si="5"/>
        <v>2017</v>
      </c>
    </row>
    <row r="241" ht="15.75" customHeight="1">
      <c r="A241" s="1" t="s">
        <v>14</v>
      </c>
      <c r="B241" s="1">
        <v>9536682.0</v>
      </c>
      <c r="C241" s="1" t="s">
        <v>1078</v>
      </c>
      <c r="D241" s="1" t="s">
        <v>1093</v>
      </c>
      <c r="E241" s="1" t="s">
        <v>1094</v>
      </c>
      <c r="F241" s="1" t="s">
        <v>1095</v>
      </c>
      <c r="G241" s="1" t="s">
        <v>19</v>
      </c>
      <c r="H241" s="1" t="s">
        <v>1096</v>
      </c>
      <c r="I241" s="1" t="s">
        <v>1097</v>
      </c>
      <c r="J241" s="1" t="str">
        <f t="shared" si="1"/>
        <v>Non-Compliant</v>
      </c>
      <c r="K241" s="1" t="str">
        <f t="shared" si="2"/>
        <v>Non-Incentive</v>
      </c>
      <c r="L241" s="1" t="str">
        <f t="shared" si="3"/>
        <v>TUG</v>
      </c>
      <c r="M241" s="1">
        <f t="shared" si="4"/>
        <v>3</v>
      </c>
      <c r="N241" s="1">
        <f t="shared" si="5"/>
        <v>2017</v>
      </c>
    </row>
    <row r="242" ht="15.75" customHeight="1">
      <c r="A242" s="1" t="s">
        <v>14</v>
      </c>
      <c r="B242" s="1">
        <v>9683009.0</v>
      </c>
      <c r="C242" s="1" t="s">
        <v>1145</v>
      </c>
      <c r="D242" s="1" t="s">
        <v>1150</v>
      </c>
      <c r="E242" s="1" t="s">
        <v>1129</v>
      </c>
      <c r="F242" s="1" t="s">
        <v>1151</v>
      </c>
      <c r="G242" s="1" t="s">
        <v>19</v>
      </c>
      <c r="H242" s="1" t="s">
        <v>1152</v>
      </c>
      <c r="I242" s="1" t="s">
        <v>1097</v>
      </c>
      <c r="J242" s="1" t="str">
        <f t="shared" si="1"/>
        <v>Non-Compliant</v>
      </c>
      <c r="K242" s="1" t="str">
        <f t="shared" si="2"/>
        <v>Non-Incentive</v>
      </c>
      <c r="L242" s="1" t="str">
        <f t="shared" si="3"/>
        <v>TUG</v>
      </c>
      <c r="M242" s="1">
        <f t="shared" si="4"/>
        <v>3</v>
      </c>
      <c r="N242" s="1">
        <f t="shared" si="5"/>
        <v>2017</v>
      </c>
    </row>
    <row r="243" ht="15.75" customHeight="1">
      <c r="A243" s="1" t="s">
        <v>14</v>
      </c>
      <c r="B243" s="1">
        <v>1341857.0</v>
      </c>
      <c r="C243" s="1" t="s">
        <v>1421</v>
      </c>
      <c r="D243" s="1" t="s">
        <v>1422</v>
      </c>
      <c r="E243" s="1" t="s">
        <v>1423</v>
      </c>
      <c r="F243" s="1" t="s">
        <v>1424</v>
      </c>
      <c r="G243" s="1" t="s">
        <v>1425</v>
      </c>
      <c r="H243" s="1" t="s">
        <v>1426</v>
      </c>
      <c r="I243" s="1" t="s">
        <v>1427</v>
      </c>
      <c r="J243" s="1" t="str">
        <f t="shared" si="1"/>
        <v>Non-Compliant</v>
      </c>
      <c r="K243" s="1" t="str">
        <f t="shared" si="2"/>
        <v>Non-Incentive</v>
      </c>
      <c r="L243" s="1" t="str">
        <f t="shared" si="3"/>
        <v>TUG</v>
      </c>
      <c r="M243" s="1">
        <f t="shared" si="4"/>
        <v>3</v>
      </c>
      <c r="N243" s="1">
        <f t="shared" si="5"/>
        <v>2017</v>
      </c>
    </row>
    <row r="244" ht="15.75" customHeight="1">
      <c r="A244" s="1" t="s">
        <v>14</v>
      </c>
      <c r="B244" s="1">
        <v>1220745.0</v>
      </c>
      <c r="C244" s="1" t="s">
        <v>1320</v>
      </c>
      <c r="D244" s="1" t="s">
        <v>1326</v>
      </c>
      <c r="E244" s="1" t="s">
        <v>1327</v>
      </c>
      <c r="F244" s="1" t="s">
        <v>1328</v>
      </c>
      <c r="G244" s="1" t="s">
        <v>19</v>
      </c>
      <c r="H244" s="1" t="s">
        <v>1329</v>
      </c>
      <c r="I244" s="1" t="s">
        <v>1330</v>
      </c>
      <c r="J244" s="1" t="str">
        <f t="shared" si="1"/>
        <v>Non-Compliant</v>
      </c>
      <c r="K244" s="1" t="str">
        <f t="shared" si="2"/>
        <v>Non-Incentive</v>
      </c>
      <c r="L244" s="1" t="str">
        <f t="shared" si="3"/>
        <v>TUG</v>
      </c>
      <c r="M244" s="1">
        <f t="shared" si="4"/>
        <v>3</v>
      </c>
      <c r="N244" s="1">
        <f t="shared" si="5"/>
        <v>2017</v>
      </c>
    </row>
    <row r="245" ht="15.75" customHeight="1">
      <c r="A245" s="1" t="s">
        <v>14</v>
      </c>
      <c r="B245" s="1">
        <v>9510284.0</v>
      </c>
      <c r="C245" s="1" t="s">
        <v>1067</v>
      </c>
      <c r="D245" s="1" t="s">
        <v>1073</v>
      </c>
      <c r="E245" s="1" t="s">
        <v>1074</v>
      </c>
      <c r="F245" s="1" t="s">
        <v>1075</v>
      </c>
      <c r="G245" s="1" t="s">
        <v>19</v>
      </c>
      <c r="H245" s="1" t="s">
        <v>1076</v>
      </c>
      <c r="I245" s="1" t="s">
        <v>1077</v>
      </c>
      <c r="J245" s="1" t="str">
        <f t="shared" si="1"/>
        <v>Non-Compliant</v>
      </c>
      <c r="K245" s="1" t="str">
        <f t="shared" si="2"/>
        <v>Non-Incentive</v>
      </c>
      <c r="L245" s="1" t="str">
        <f t="shared" si="3"/>
        <v>TUG</v>
      </c>
      <c r="M245" s="1">
        <f t="shared" si="4"/>
        <v>3</v>
      </c>
      <c r="N245" s="1">
        <f t="shared" si="5"/>
        <v>2017</v>
      </c>
    </row>
    <row r="246" ht="15.75" customHeight="1">
      <c r="A246" s="1" t="s">
        <v>14</v>
      </c>
      <c r="B246" s="1">
        <v>9603076.0</v>
      </c>
      <c r="C246" s="1" t="s">
        <v>1118</v>
      </c>
      <c r="D246" s="1" t="s">
        <v>1123</v>
      </c>
      <c r="E246" s="1" t="s">
        <v>1124</v>
      </c>
      <c r="F246" s="1" t="s">
        <v>1125</v>
      </c>
      <c r="G246" s="1" t="s">
        <v>19</v>
      </c>
      <c r="H246" s="1" t="s">
        <v>1126</v>
      </c>
      <c r="I246" s="1" t="s">
        <v>1127</v>
      </c>
      <c r="J246" s="1" t="str">
        <f t="shared" si="1"/>
        <v>Non-Compliant</v>
      </c>
      <c r="K246" s="1" t="str">
        <f t="shared" si="2"/>
        <v>Non-Incentive</v>
      </c>
      <c r="L246" s="1" t="str">
        <f t="shared" si="3"/>
        <v>TUG</v>
      </c>
      <c r="M246" s="1">
        <f t="shared" si="4"/>
        <v>3</v>
      </c>
      <c r="N246" s="1">
        <f t="shared" si="5"/>
        <v>2017</v>
      </c>
    </row>
    <row r="247" ht="15.75" customHeight="1">
      <c r="A247" s="1" t="s">
        <v>14</v>
      </c>
      <c r="B247" s="1">
        <v>1071710.0</v>
      </c>
      <c r="C247" s="1" t="s">
        <v>1257</v>
      </c>
      <c r="D247" s="1" t="s">
        <v>1277</v>
      </c>
      <c r="E247" s="1" t="s">
        <v>1247</v>
      </c>
      <c r="F247" s="1" t="s">
        <v>1278</v>
      </c>
      <c r="G247" s="1" t="s">
        <v>19</v>
      </c>
      <c r="H247" s="1" t="s">
        <v>1279</v>
      </c>
      <c r="I247" s="1" t="s">
        <v>1280</v>
      </c>
      <c r="J247" s="1" t="str">
        <f t="shared" si="1"/>
        <v>Non-Compliant</v>
      </c>
      <c r="K247" s="1" t="str">
        <f t="shared" si="2"/>
        <v>Non-Incentive</v>
      </c>
      <c r="L247" s="1" t="str">
        <f t="shared" si="3"/>
        <v>TUG</v>
      </c>
      <c r="M247" s="1">
        <f t="shared" si="4"/>
        <v>3</v>
      </c>
      <c r="N247" s="1">
        <f t="shared" si="5"/>
        <v>2017</v>
      </c>
    </row>
    <row r="248" ht="15.75" customHeight="1">
      <c r="A248" s="1" t="s">
        <v>14</v>
      </c>
      <c r="B248" s="1">
        <v>1054151.0</v>
      </c>
      <c r="C248" s="1" t="s">
        <v>1257</v>
      </c>
      <c r="D248" s="1" t="s">
        <v>1258</v>
      </c>
      <c r="E248" s="1" t="s">
        <v>1259</v>
      </c>
      <c r="F248" s="1" t="s">
        <v>1260</v>
      </c>
      <c r="G248" s="1" t="s">
        <v>19</v>
      </c>
      <c r="H248" s="1" t="s">
        <v>1261</v>
      </c>
      <c r="I248" s="1" t="s">
        <v>1262</v>
      </c>
      <c r="J248" s="1" t="str">
        <f t="shared" si="1"/>
        <v>Non-Compliant</v>
      </c>
      <c r="K248" s="1" t="str">
        <f t="shared" si="2"/>
        <v>Non-Incentive</v>
      </c>
      <c r="L248" s="1" t="str">
        <f t="shared" si="3"/>
        <v>TUG</v>
      </c>
      <c r="M248" s="1">
        <f t="shared" si="4"/>
        <v>3</v>
      </c>
      <c r="N248" s="1">
        <f t="shared" si="5"/>
        <v>2017</v>
      </c>
    </row>
    <row r="249" ht="15.75" customHeight="1">
      <c r="A249" s="1" t="s">
        <v>14</v>
      </c>
      <c r="B249" s="1">
        <v>9776960.0</v>
      </c>
      <c r="C249" s="1" t="s">
        <v>1188</v>
      </c>
      <c r="D249" s="1" t="s">
        <v>1189</v>
      </c>
      <c r="E249" s="1" t="s">
        <v>1190</v>
      </c>
      <c r="F249" s="1" t="s">
        <v>1191</v>
      </c>
      <c r="G249" s="1" t="s">
        <v>19</v>
      </c>
      <c r="H249" s="1" t="s">
        <v>1192</v>
      </c>
      <c r="I249" s="1" t="s">
        <v>1193</v>
      </c>
      <c r="J249" s="1" t="str">
        <f t="shared" si="1"/>
        <v>Non-Compliant</v>
      </c>
      <c r="K249" s="1" t="str">
        <f t="shared" si="2"/>
        <v>Non-Incentive</v>
      </c>
      <c r="L249" s="1" t="str">
        <f t="shared" si="3"/>
        <v>TUG</v>
      </c>
      <c r="M249" s="1">
        <f t="shared" si="4"/>
        <v>3</v>
      </c>
      <c r="N249" s="1">
        <f t="shared" si="5"/>
        <v>2017</v>
      </c>
    </row>
    <row r="250" ht="15.75" customHeight="1">
      <c r="A250" s="1" t="s">
        <v>14</v>
      </c>
      <c r="B250" s="1">
        <v>9612572.0</v>
      </c>
      <c r="C250" s="1" t="s">
        <v>1118</v>
      </c>
      <c r="D250" s="1" t="s">
        <v>1128</v>
      </c>
      <c r="E250" s="1" t="s">
        <v>1129</v>
      </c>
      <c r="F250" s="1" t="s">
        <v>1130</v>
      </c>
      <c r="G250" s="1" t="s">
        <v>19</v>
      </c>
      <c r="H250" s="1" t="s">
        <v>1131</v>
      </c>
      <c r="I250" s="1" t="s">
        <v>1132</v>
      </c>
      <c r="J250" s="1" t="str">
        <f t="shared" si="1"/>
        <v>Non-Compliant</v>
      </c>
      <c r="K250" s="1" t="str">
        <f t="shared" si="2"/>
        <v>Non-Incentive</v>
      </c>
      <c r="L250" s="1" t="str">
        <f t="shared" si="3"/>
        <v>TUG</v>
      </c>
      <c r="M250" s="1">
        <f t="shared" si="4"/>
        <v>3</v>
      </c>
      <c r="N250" s="1">
        <f t="shared" si="5"/>
        <v>2017</v>
      </c>
    </row>
    <row r="251" ht="15.75" customHeight="1">
      <c r="A251" s="1" t="s">
        <v>14</v>
      </c>
      <c r="B251" s="1">
        <v>9949379.0</v>
      </c>
      <c r="C251" s="1" t="s">
        <v>1214</v>
      </c>
      <c r="D251" s="1" t="s">
        <v>1221</v>
      </c>
      <c r="E251" s="1" t="s">
        <v>1222</v>
      </c>
      <c r="F251" s="1" t="s">
        <v>1223</v>
      </c>
      <c r="G251" s="1" t="s">
        <v>19</v>
      </c>
      <c r="H251" s="1" t="s">
        <v>1224</v>
      </c>
      <c r="I251" s="1" t="s">
        <v>1132</v>
      </c>
      <c r="J251" s="1" t="str">
        <f t="shared" si="1"/>
        <v>Non-Compliant</v>
      </c>
      <c r="K251" s="1" t="str">
        <f t="shared" si="2"/>
        <v>Non-Incentive</v>
      </c>
      <c r="L251" s="1" t="str">
        <f t="shared" si="3"/>
        <v>TUG</v>
      </c>
      <c r="M251" s="1">
        <f t="shared" si="4"/>
        <v>3</v>
      </c>
      <c r="N251" s="1">
        <f t="shared" si="5"/>
        <v>2017</v>
      </c>
    </row>
    <row r="252" ht="15.75" customHeight="1">
      <c r="A252" s="1" t="s">
        <v>14</v>
      </c>
      <c r="B252" s="1">
        <v>1551135.0</v>
      </c>
      <c r="C252" s="1" t="s">
        <v>1522</v>
      </c>
      <c r="D252" s="1" t="s">
        <v>1530</v>
      </c>
      <c r="E252" s="1" t="s">
        <v>1487</v>
      </c>
      <c r="F252" s="1" t="s">
        <v>1531</v>
      </c>
      <c r="G252" s="1" t="s">
        <v>37</v>
      </c>
      <c r="H252" s="1" t="s">
        <v>1532</v>
      </c>
      <c r="I252" s="1" t="s">
        <v>1533</v>
      </c>
      <c r="J252" s="1" t="str">
        <f t="shared" si="1"/>
        <v>Non-Compliant</v>
      </c>
      <c r="K252" s="1" t="str">
        <f t="shared" si="2"/>
        <v>Non-Incentive</v>
      </c>
      <c r="L252" s="1" t="str">
        <f t="shared" si="3"/>
        <v>TUG</v>
      </c>
      <c r="M252" s="1">
        <f t="shared" si="4"/>
        <v>3</v>
      </c>
      <c r="N252" s="1">
        <f t="shared" si="5"/>
        <v>2017</v>
      </c>
    </row>
    <row r="253" ht="15.75" customHeight="1">
      <c r="A253" s="1" t="s">
        <v>14</v>
      </c>
      <c r="B253" s="1">
        <v>9653631.0</v>
      </c>
      <c r="C253" s="1" t="s">
        <v>1139</v>
      </c>
      <c r="D253" s="1" t="s">
        <v>1140</v>
      </c>
      <c r="E253" s="1" t="s">
        <v>1141</v>
      </c>
      <c r="F253" s="1" t="s">
        <v>1142</v>
      </c>
      <c r="G253" s="1" t="s">
        <v>19</v>
      </c>
      <c r="H253" s="1" t="s">
        <v>1143</v>
      </c>
      <c r="I253" s="1" t="s">
        <v>1144</v>
      </c>
      <c r="J253" s="1" t="str">
        <f t="shared" si="1"/>
        <v>Non-Compliant</v>
      </c>
      <c r="K253" s="1" t="str">
        <f t="shared" si="2"/>
        <v>Non-Incentive</v>
      </c>
      <c r="L253" s="1" t="str">
        <f t="shared" si="3"/>
        <v>TUG</v>
      </c>
      <c r="M253" s="1">
        <f t="shared" si="4"/>
        <v>3</v>
      </c>
      <c r="N253" s="1">
        <f t="shared" si="5"/>
        <v>2017</v>
      </c>
    </row>
    <row r="254" ht="15.75" customHeight="1">
      <c r="A254" s="1" t="s">
        <v>14</v>
      </c>
      <c r="B254" s="1">
        <v>1071189.0</v>
      </c>
      <c r="C254" s="1" t="s">
        <v>1257</v>
      </c>
      <c r="D254" s="1" t="s">
        <v>1273</v>
      </c>
      <c r="E254" s="1" t="s">
        <v>1247</v>
      </c>
      <c r="F254" s="1" t="s">
        <v>1274</v>
      </c>
      <c r="G254" s="1" t="s">
        <v>19</v>
      </c>
      <c r="H254" s="1" t="s">
        <v>1275</v>
      </c>
      <c r="I254" s="1" t="s">
        <v>1276</v>
      </c>
      <c r="J254" s="1" t="str">
        <f t="shared" si="1"/>
        <v>Non-Compliant</v>
      </c>
      <c r="K254" s="1" t="str">
        <f t="shared" si="2"/>
        <v>Non-Incentive</v>
      </c>
      <c r="L254" s="1" t="str">
        <f t="shared" si="3"/>
        <v>TUG</v>
      </c>
      <c r="M254" s="1">
        <f t="shared" si="4"/>
        <v>3</v>
      </c>
      <c r="N254" s="1">
        <f t="shared" si="5"/>
        <v>2017</v>
      </c>
    </row>
    <row r="255" ht="15.75" customHeight="1">
      <c r="A255" s="1" t="s">
        <v>14</v>
      </c>
      <c r="B255" s="1">
        <v>1023575.0</v>
      </c>
      <c r="C255" s="1" t="s">
        <v>1234</v>
      </c>
      <c r="D255" s="1" t="s">
        <v>1235</v>
      </c>
      <c r="E255" s="1" t="s">
        <v>1236</v>
      </c>
      <c r="F255" s="1" t="s">
        <v>1237</v>
      </c>
      <c r="G255" s="1" t="s">
        <v>37</v>
      </c>
      <c r="H255" s="1" t="s">
        <v>1238</v>
      </c>
      <c r="I255" s="1" t="s">
        <v>1239</v>
      </c>
      <c r="J255" s="1" t="str">
        <f t="shared" si="1"/>
        <v>Non-Compliant</v>
      </c>
      <c r="K255" s="1" t="str">
        <f t="shared" si="2"/>
        <v>Non-Incentive</v>
      </c>
      <c r="L255" s="1" t="str">
        <f t="shared" si="3"/>
        <v>TUG</v>
      </c>
      <c r="M255" s="1">
        <f t="shared" si="4"/>
        <v>3</v>
      </c>
      <c r="N255" s="1">
        <f t="shared" si="5"/>
        <v>2017</v>
      </c>
    </row>
    <row r="256" ht="15.75" customHeight="1">
      <c r="A256" s="1" t="s">
        <v>14</v>
      </c>
      <c r="B256" s="1">
        <v>1099071.0</v>
      </c>
      <c r="C256" s="1" t="s">
        <v>1290</v>
      </c>
      <c r="D256" s="1" t="s">
        <v>1295</v>
      </c>
      <c r="E256" s="1" t="s">
        <v>1269</v>
      </c>
      <c r="F256" s="1" t="s">
        <v>1296</v>
      </c>
      <c r="G256" s="1" t="s">
        <v>19</v>
      </c>
      <c r="H256" s="1" t="s">
        <v>1297</v>
      </c>
      <c r="I256" s="1" t="s">
        <v>1298</v>
      </c>
      <c r="J256" s="1" t="str">
        <f t="shared" si="1"/>
        <v>Non-Compliant</v>
      </c>
      <c r="K256" s="1" t="str">
        <f t="shared" si="2"/>
        <v>Non-Incentive</v>
      </c>
      <c r="L256" s="1" t="str">
        <f t="shared" si="3"/>
        <v>TUG</v>
      </c>
      <c r="M256" s="1">
        <f t="shared" si="4"/>
        <v>3</v>
      </c>
      <c r="N256" s="1">
        <f t="shared" si="5"/>
        <v>2017</v>
      </c>
    </row>
    <row r="257" ht="15.75" customHeight="1">
      <c r="A257" s="1" t="s">
        <v>14</v>
      </c>
      <c r="B257" s="1">
        <v>1181054.0</v>
      </c>
      <c r="C257" s="1" t="s">
        <v>1304</v>
      </c>
      <c r="D257" s="1" t="s">
        <v>1305</v>
      </c>
      <c r="E257" s="1" t="s">
        <v>1306</v>
      </c>
      <c r="F257" s="1" t="s">
        <v>1307</v>
      </c>
      <c r="G257" s="1" t="s">
        <v>19</v>
      </c>
      <c r="H257" s="1" t="s">
        <v>1308</v>
      </c>
      <c r="I257" s="1" t="s">
        <v>1309</v>
      </c>
      <c r="J257" s="1" t="str">
        <f t="shared" si="1"/>
        <v>Non-Compliant</v>
      </c>
      <c r="K257" s="1" t="str">
        <f t="shared" si="2"/>
        <v>Non-Incentive</v>
      </c>
      <c r="L257" s="1" t="str">
        <f t="shared" si="3"/>
        <v>TUG</v>
      </c>
      <c r="M257" s="1">
        <f t="shared" si="4"/>
        <v>3</v>
      </c>
      <c r="N257" s="1">
        <f t="shared" si="5"/>
        <v>2017</v>
      </c>
    </row>
    <row r="258" ht="15.75" customHeight="1">
      <c r="A258" s="1" t="s">
        <v>14</v>
      </c>
      <c r="B258" s="1">
        <v>1192194.0</v>
      </c>
      <c r="C258" s="1" t="s">
        <v>1304</v>
      </c>
      <c r="D258" s="1" t="s">
        <v>1310</v>
      </c>
      <c r="E258" s="1" t="s">
        <v>1311</v>
      </c>
      <c r="F258" s="1" t="s">
        <v>1312</v>
      </c>
      <c r="G258" s="1" t="s">
        <v>19</v>
      </c>
      <c r="H258" s="1" t="s">
        <v>1313</v>
      </c>
      <c r="I258" s="1" t="s">
        <v>1314</v>
      </c>
      <c r="J258" s="1" t="str">
        <f t="shared" si="1"/>
        <v>Non-Compliant</v>
      </c>
      <c r="K258" s="1" t="str">
        <f t="shared" si="2"/>
        <v>Non-Incentive</v>
      </c>
      <c r="L258" s="1" t="str">
        <f t="shared" si="3"/>
        <v>TUG</v>
      </c>
      <c r="M258" s="1">
        <f t="shared" si="4"/>
        <v>3</v>
      </c>
      <c r="N258" s="1">
        <f t="shared" si="5"/>
        <v>2017</v>
      </c>
    </row>
    <row r="259" ht="15.75" customHeight="1">
      <c r="A259" s="1" t="s">
        <v>14</v>
      </c>
      <c r="B259" s="1">
        <v>1197442.0</v>
      </c>
      <c r="C259" s="1" t="s">
        <v>1304</v>
      </c>
      <c r="D259" s="1" t="s">
        <v>1315</v>
      </c>
      <c r="E259" s="1" t="s">
        <v>1316</v>
      </c>
      <c r="F259" s="1" t="s">
        <v>1317</v>
      </c>
      <c r="G259" s="1" t="s">
        <v>37</v>
      </c>
      <c r="H259" s="1" t="s">
        <v>1318</v>
      </c>
      <c r="I259" s="1" t="s">
        <v>1319</v>
      </c>
      <c r="J259" s="1" t="str">
        <f t="shared" si="1"/>
        <v>Non-Compliant</v>
      </c>
      <c r="K259" s="1" t="str">
        <f t="shared" si="2"/>
        <v>Non-Incentive</v>
      </c>
      <c r="L259" s="1" t="str">
        <f t="shared" si="3"/>
        <v>TUG</v>
      </c>
      <c r="M259" s="1">
        <f t="shared" si="4"/>
        <v>3</v>
      </c>
      <c r="N259" s="1">
        <f t="shared" si="5"/>
        <v>2017</v>
      </c>
    </row>
    <row r="260" ht="15.75" customHeight="1">
      <c r="A260" s="1" t="s">
        <v>14</v>
      </c>
      <c r="B260" s="1">
        <v>1223387.0</v>
      </c>
      <c r="C260" s="1" t="s">
        <v>1320</v>
      </c>
      <c r="D260" s="1" t="s">
        <v>1337</v>
      </c>
      <c r="E260" s="1" t="s">
        <v>1338</v>
      </c>
      <c r="F260" s="1" t="s">
        <v>1339</v>
      </c>
      <c r="G260" s="1" t="s">
        <v>19</v>
      </c>
      <c r="H260" s="1" t="s">
        <v>1340</v>
      </c>
      <c r="I260" s="1" t="s">
        <v>1341</v>
      </c>
      <c r="J260" s="1" t="str">
        <f t="shared" si="1"/>
        <v>Non-Compliant</v>
      </c>
      <c r="K260" s="1" t="str">
        <f t="shared" si="2"/>
        <v>Non-Incentive</v>
      </c>
      <c r="L260" s="1" t="str">
        <f t="shared" si="3"/>
        <v>TUG</v>
      </c>
      <c r="M260" s="1">
        <f t="shared" si="4"/>
        <v>3</v>
      </c>
      <c r="N260" s="1">
        <f t="shared" si="5"/>
        <v>2017</v>
      </c>
    </row>
    <row r="261" ht="15.75" customHeight="1">
      <c r="A261" s="1" t="s">
        <v>14</v>
      </c>
      <c r="B261" s="1">
        <v>1255601.0</v>
      </c>
      <c r="C261" s="1" t="s">
        <v>1342</v>
      </c>
      <c r="D261" s="1" t="s">
        <v>1375</v>
      </c>
      <c r="E261" s="1" t="s">
        <v>1370</v>
      </c>
      <c r="F261" s="1" t="s">
        <v>1376</v>
      </c>
      <c r="G261" s="1" t="s">
        <v>19</v>
      </c>
      <c r="H261" s="1" t="s">
        <v>1377</v>
      </c>
      <c r="I261" s="1" t="s">
        <v>1378</v>
      </c>
      <c r="J261" s="1" t="str">
        <f t="shared" si="1"/>
        <v>Non-Compliant</v>
      </c>
      <c r="K261" s="1" t="str">
        <f t="shared" si="2"/>
        <v>Non-Incentive</v>
      </c>
      <c r="L261" s="1" t="str">
        <f t="shared" si="3"/>
        <v>TUG</v>
      </c>
      <c r="M261" s="1">
        <f t="shared" si="4"/>
        <v>3</v>
      </c>
      <c r="N261" s="1">
        <f t="shared" si="5"/>
        <v>2017</v>
      </c>
    </row>
    <row r="262" ht="15.75" customHeight="1">
      <c r="A262" s="1" t="s">
        <v>14</v>
      </c>
      <c r="B262" s="1">
        <v>1349513.0</v>
      </c>
      <c r="C262" s="1" t="s">
        <v>1421</v>
      </c>
      <c r="D262" s="1" t="s">
        <v>1432</v>
      </c>
      <c r="E262" s="1" t="s">
        <v>1433</v>
      </c>
      <c r="F262" s="1" t="s">
        <v>1434</v>
      </c>
      <c r="G262" s="1" t="s">
        <v>19</v>
      </c>
      <c r="H262" s="1" t="s">
        <v>1435</v>
      </c>
      <c r="I262" s="1" t="s">
        <v>1436</v>
      </c>
      <c r="J262" s="1" t="str">
        <f t="shared" si="1"/>
        <v>Non-Compliant</v>
      </c>
      <c r="K262" s="1" t="str">
        <f t="shared" si="2"/>
        <v>Non-Incentive</v>
      </c>
      <c r="L262" s="1" t="str">
        <f t="shared" si="3"/>
        <v>TUG</v>
      </c>
      <c r="M262" s="1">
        <f t="shared" si="4"/>
        <v>3</v>
      </c>
      <c r="N262" s="1">
        <f t="shared" si="5"/>
        <v>2017</v>
      </c>
    </row>
    <row r="263" ht="15.75" customHeight="1">
      <c r="A263" s="1" t="s">
        <v>14</v>
      </c>
      <c r="B263" s="1">
        <v>1323400.0</v>
      </c>
      <c r="C263" s="1" t="s">
        <v>1399</v>
      </c>
      <c r="D263" s="1" t="s">
        <v>1416</v>
      </c>
      <c r="E263" s="1" t="s">
        <v>1417</v>
      </c>
      <c r="F263" s="1" t="s">
        <v>1418</v>
      </c>
      <c r="G263" s="1" t="s">
        <v>19</v>
      </c>
      <c r="H263" s="1" t="s">
        <v>1419</v>
      </c>
      <c r="I263" s="1" t="s">
        <v>1420</v>
      </c>
      <c r="J263" s="1" t="str">
        <f t="shared" si="1"/>
        <v>Non-Compliant</v>
      </c>
      <c r="K263" s="1" t="str">
        <f t="shared" si="2"/>
        <v>Non-Incentive</v>
      </c>
      <c r="L263" s="1" t="str">
        <f t="shared" si="3"/>
        <v>TUG</v>
      </c>
      <c r="M263" s="1">
        <f t="shared" si="4"/>
        <v>3</v>
      </c>
      <c r="N263" s="1">
        <f t="shared" si="5"/>
        <v>2017</v>
      </c>
    </row>
    <row r="264" ht="15.75" customHeight="1">
      <c r="A264" s="1" t="s">
        <v>14</v>
      </c>
      <c r="B264" s="1">
        <v>1310855.0</v>
      </c>
      <c r="C264" s="1" t="s">
        <v>1399</v>
      </c>
      <c r="D264" s="1" t="s">
        <v>1400</v>
      </c>
      <c r="E264" s="1" t="s">
        <v>1401</v>
      </c>
      <c r="F264" s="1" t="s">
        <v>1402</v>
      </c>
      <c r="G264" s="1" t="s">
        <v>37</v>
      </c>
      <c r="H264" s="1" t="s">
        <v>1403</v>
      </c>
      <c r="I264" s="1" t="s">
        <v>1404</v>
      </c>
      <c r="J264" s="1" t="str">
        <f t="shared" si="1"/>
        <v>Non-Compliant</v>
      </c>
      <c r="K264" s="1" t="str">
        <f t="shared" si="2"/>
        <v>Non-Incentive</v>
      </c>
      <c r="L264" s="1" t="str">
        <f t="shared" si="3"/>
        <v>TUG</v>
      </c>
      <c r="M264" s="1">
        <f t="shared" si="4"/>
        <v>3</v>
      </c>
      <c r="N264" s="1">
        <f t="shared" si="5"/>
        <v>2017</v>
      </c>
    </row>
    <row r="265" ht="15.75" customHeight="1">
      <c r="A265" s="1" t="s">
        <v>14</v>
      </c>
      <c r="B265" s="1">
        <v>1277877.0</v>
      </c>
      <c r="C265" s="1" t="s">
        <v>1379</v>
      </c>
      <c r="D265" s="1" t="s">
        <v>1389</v>
      </c>
      <c r="E265" s="1" t="s">
        <v>1385</v>
      </c>
      <c r="F265" s="1" t="s">
        <v>1390</v>
      </c>
      <c r="G265" s="1" t="s">
        <v>1391</v>
      </c>
      <c r="H265" s="1" t="s">
        <v>1392</v>
      </c>
      <c r="I265" s="1" t="s">
        <v>1393</v>
      </c>
      <c r="J265" s="1" t="str">
        <f t="shared" si="1"/>
        <v>Non-Compliant</v>
      </c>
      <c r="K265" s="1" t="str">
        <f t="shared" si="2"/>
        <v>Non-Incentive</v>
      </c>
      <c r="L265" s="1" t="str">
        <f t="shared" si="3"/>
        <v>TUG</v>
      </c>
      <c r="M265" s="1">
        <f t="shared" si="4"/>
        <v>3</v>
      </c>
      <c r="N265" s="1">
        <f t="shared" si="5"/>
        <v>2017</v>
      </c>
    </row>
    <row r="266" ht="15.75" customHeight="1">
      <c r="A266" s="1" t="s">
        <v>14</v>
      </c>
      <c r="B266" s="1">
        <v>1277880.0</v>
      </c>
      <c r="C266" s="1" t="s">
        <v>1379</v>
      </c>
      <c r="D266" s="1" t="s">
        <v>1394</v>
      </c>
      <c r="E266" s="1" t="s">
        <v>1395</v>
      </c>
      <c r="F266" s="1" t="s">
        <v>1390</v>
      </c>
      <c r="G266" s="1" t="s">
        <v>1396</v>
      </c>
      <c r="H266" s="1" t="s">
        <v>1397</v>
      </c>
      <c r="I266" s="1" t="s">
        <v>1393</v>
      </c>
      <c r="J266" s="1" t="str">
        <f t="shared" si="1"/>
        <v>Non-Compliant</v>
      </c>
      <c r="K266" s="1" t="str">
        <f t="shared" si="2"/>
        <v>Non-Incentive</v>
      </c>
      <c r="L266" s="1" t="str">
        <f t="shared" si="3"/>
        <v>TUG</v>
      </c>
      <c r="M266" s="1">
        <f t="shared" si="4"/>
        <v>3</v>
      </c>
      <c r="N266" s="1">
        <f t="shared" si="5"/>
        <v>2017</v>
      </c>
    </row>
    <row r="267" ht="15.75" customHeight="1">
      <c r="A267" s="1" t="s">
        <v>14</v>
      </c>
      <c r="B267" s="1">
        <v>1277951.0</v>
      </c>
      <c r="C267" s="1" t="s">
        <v>1379</v>
      </c>
      <c r="D267" s="1" t="s">
        <v>1398</v>
      </c>
      <c r="E267" s="1" t="s">
        <v>1395</v>
      </c>
      <c r="F267" s="1" t="s">
        <v>1390</v>
      </c>
      <c r="G267" s="1" t="s">
        <v>1396</v>
      </c>
      <c r="H267" s="1" t="s">
        <v>1397</v>
      </c>
      <c r="I267" s="1" t="s">
        <v>1393</v>
      </c>
      <c r="J267" s="1" t="str">
        <f t="shared" si="1"/>
        <v>Non-Compliant</v>
      </c>
      <c r="K267" s="1" t="str">
        <f t="shared" si="2"/>
        <v>Non-Incentive</v>
      </c>
      <c r="L267" s="1" t="str">
        <f t="shared" si="3"/>
        <v>TUG</v>
      </c>
      <c r="M267" s="1">
        <f t="shared" si="4"/>
        <v>3</v>
      </c>
      <c r="N267" s="1">
        <f t="shared" si="5"/>
        <v>2017</v>
      </c>
    </row>
    <row r="268" ht="15.75" customHeight="1">
      <c r="A268" s="1" t="s">
        <v>14</v>
      </c>
      <c r="B268" s="1">
        <v>1317115.0</v>
      </c>
      <c r="C268" s="1" t="s">
        <v>1399</v>
      </c>
      <c r="D268" s="1" t="s">
        <v>1405</v>
      </c>
      <c r="E268" s="1" t="s">
        <v>1385</v>
      </c>
      <c r="F268" s="1" t="s">
        <v>1390</v>
      </c>
      <c r="G268" s="1" t="s">
        <v>1406</v>
      </c>
      <c r="H268" s="1" t="s">
        <v>1407</v>
      </c>
      <c r="I268" s="1" t="s">
        <v>1393</v>
      </c>
      <c r="J268" s="1" t="str">
        <f t="shared" si="1"/>
        <v>Non-Compliant</v>
      </c>
      <c r="K268" s="1" t="str">
        <f t="shared" si="2"/>
        <v>Non-Incentive</v>
      </c>
      <c r="L268" s="1" t="str">
        <f t="shared" si="3"/>
        <v>TUG</v>
      </c>
      <c r="M268" s="1">
        <f t="shared" si="4"/>
        <v>3</v>
      </c>
      <c r="N268" s="1">
        <f t="shared" si="5"/>
        <v>2017</v>
      </c>
    </row>
    <row r="269" ht="15.75" customHeight="1">
      <c r="A269" s="1" t="s">
        <v>14</v>
      </c>
      <c r="B269" s="1">
        <v>1318155.0</v>
      </c>
      <c r="C269" s="1" t="s">
        <v>1399</v>
      </c>
      <c r="D269" s="1" t="s">
        <v>1408</v>
      </c>
      <c r="E269" s="1" t="s">
        <v>1385</v>
      </c>
      <c r="F269" s="1" t="s">
        <v>1409</v>
      </c>
      <c r="G269" s="1" t="s">
        <v>1410</v>
      </c>
      <c r="H269" s="1" t="s">
        <v>1411</v>
      </c>
      <c r="I269" s="1" t="s">
        <v>1393</v>
      </c>
      <c r="J269" s="1" t="str">
        <f t="shared" si="1"/>
        <v>Non-Compliant</v>
      </c>
      <c r="K269" s="1" t="str">
        <f t="shared" si="2"/>
        <v>Non-Incentive</v>
      </c>
      <c r="L269" s="1" t="str">
        <f t="shared" si="3"/>
        <v>TUG</v>
      </c>
      <c r="M269" s="1">
        <f t="shared" si="4"/>
        <v>3</v>
      </c>
      <c r="N269" s="1">
        <f t="shared" si="5"/>
        <v>2017</v>
      </c>
    </row>
    <row r="270" ht="15.75" customHeight="1">
      <c r="A270" s="1" t="s">
        <v>14</v>
      </c>
      <c r="B270" s="1">
        <v>1468626.0</v>
      </c>
      <c r="C270" s="1" t="s">
        <v>1465</v>
      </c>
      <c r="D270" s="1" t="s">
        <v>1471</v>
      </c>
      <c r="E270" s="1" t="s">
        <v>1472</v>
      </c>
      <c r="F270" s="1" t="s">
        <v>1473</v>
      </c>
      <c r="G270" s="1" t="s">
        <v>19</v>
      </c>
      <c r="H270" s="1" t="s">
        <v>1474</v>
      </c>
      <c r="I270" s="1" t="s">
        <v>1475</v>
      </c>
      <c r="J270" s="1" t="str">
        <f t="shared" si="1"/>
        <v>Non-Compliant</v>
      </c>
      <c r="K270" s="1" t="str">
        <f t="shared" si="2"/>
        <v>Non-Incentive</v>
      </c>
      <c r="L270" s="1" t="str">
        <f t="shared" si="3"/>
        <v>TUG</v>
      </c>
      <c r="M270" s="1">
        <f t="shared" si="4"/>
        <v>3</v>
      </c>
      <c r="N270" s="1">
        <f t="shared" si="5"/>
        <v>2017</v>
      </c>
    </row>
    <row r="271" ht="15.75" customHeight="1">
      <c r="A271" s="1" t="s">
        <v>14</v>
      </c>
      <c r="B271" s="1">
        <v>1487979.0</v>
      </c>
      <c r="C271" s="1" t="s">
        <v>1491</v>
      </c>
      <c r="D271" s="1" t="s">
        <v>1502</v>
      </c>
      <c r="E271" s="1" t="s">
        <v>1503</v>
      </c>
      <c r="F271" s="1" t="s">
        <v>1473</v>
      </c>
      <c r="G271" s="1" t="s">
        <v>19</v>
      </c>
      <c r="H271" s="1" t="s">
        <v>1504</v>
      </c>
      <c r="I271" s="1" t="s">
        <v>1475</v>
      </c>
      <c r="J271" s="1" t="str">
        <f t="shared" si="1"/>
        <v>Non-Compliant</v>
      </c>
      <c r="K271" s="1" t="str">
        <f t="shared" si="2"/>
        <v>Non-Incentive</v>
      </c>
      <c r="L271" s="1" t="str">
        <f t="shared" si="3"/>
        <v>TUG</v>
      </c>
      <c r="M271" s="1">
        <f t="shared" si="4"/>
        <v>3</v>
      </c>
      <c r="N271" s="1">
        <f t="shared" si="5"/>
        <v>2017</v>
      </c>
    </row>
    <row r="272" ht="15.75" customHeight="1">
      <c r="A272" s="1" t="s">
        <v>14</v>
      </c>
      <c r="B272" s="1">
        <v>1673346.0</v>
      </c>
      <c r="C272" s="1" t="s">
        <v>1585</v>
      </c>
      <c r="D272" s="1" t="s">
        <v>1600</v>
      </c>
      <c r="E272" s="1" t="s">
        <v>1555</v>
      </c>
      <c r="F272" s="1" t="s">
        <v>1473</v>
      </c>
      <c r="G272" s="1" t="s">
        <v>37</v>
      </c>
      <c r="H272" s="1" t="s">
        <v>1601</v>
      </c>
      <c r="I272" s="1" t="s">
        <v>1475</v>
      </c>
      <c r="J272" s="1" t="str">
        <f t="shared" si="1"/>
        <v>Non-Compliant</v>
      </c>
      <c r="K272" s="1" t="str">
        <f t="shared" si="2"/>
        <v>Non-Incentive</v>
      </c>
      <c r="L272" s="1" t="str">
        <f t="shared" si="3"/>
        <v>TUG</v>
      </c>
      <c r="M272" s="1">
        <f t="shared" si="4"/>
        <v>3</v>
      </c>
      <c r="N272" s="1">
        <f t="shared" si="5"/>
        <v>2017</v>
      </c>
    </row>
    <row r="273" ht="15.75" customHeight="1">
      <c r="A273" s="1" t="s">
        <v>14</v>
      </c>
      <c r="B273" s="1">
        <v>1580068.0</v>
      </c>
      <c r="C273" s="1" t="s">
        <v>1534</v>
      </c>
      <c r="D273" s="1" t="s">
        <v>1548</v>
      </c>
      <c r="E273" s="1" t="s">
        <v>1549</v>
      </c>
      <c r="F273" s="1" t="s">
        <v>1550</v>
      </c>
      <c r="G273" s="1" t="s">
        <v>19</v>
      </c>
      <c r="H273" s="1" t="s">
        <v>1551</v>
      </c>
      <c r="I273" s="1" t="s">
        <v>1552</v>
      </c>
      <c r="J273" s="1" t="str">
        <f t="shared" si="1"/>
        <v>Non-Compliant</v>
      </c>
      <c r="K273" s="1" t="str">
        <f t="shared" si="2"/>
        <v>Non-Incentive</v>
      </c>
      <c r="L273" s="1" t="str">
        <f t="shared" si="3"/>
        <v>TUG</v>
      </c>
      <c r="M273" s="1">
        <f t="shared" si="4"/>
        <v>3</v>
      </c>
      <c r="N273" s="1">
        <f t="shared" si="5"/>
        <v>2017</v>
      </c>
    </row>
    <row r="274" ht="15.75" customHeight="1">
      <c r="A274" s="1" t="s">
        <v>14</v>
      </c>
      <c r="B274" s="1">
        <v>1349436.0</v>
      </c>
      <c r="C274" s="1" t="s">
        <v>1421</v>
      </c>
      <c r="D274" s="1" t="s">
        <v>1428</v>
      </c>
      <c r="E274" s="1" t="s">
        <v>1385</v>
      </c>
      <c r="F274" s="1" t="s">
        <v>1429</v>
      </c>
      <c r="G274" s="1" t="s">
        <v>19</v>
      </c>
      <c r="H274" s="1" t="s">
        <v>1430</v>
      </c>
      <c r="I274" s="1" t="s">
        <v>1431</v>
      </c>
      <c r="J274" s="1" t="str">
        <f t="shared" si="1"/>
        <v>Non-Compliant</v>
      </c>
      <c r="K274" s="1" t="str">
        <f t="shared" si="2"/>
        <v>Non-Incentive</v>
      </c>
      <c r="L274" s="1" t="str">
        <f t="shared" si="3"/>
        <v>TUG</v>
      </c>
      <c r="M274" s="1">
        <f t="shared" si="4"/>
        <v>3</v>
      </c>
      <c r="N274" s="1">
        <f t="shared" si="5"/>
        <v>2017</v>
      </c>
    </row>
    <row r="275" ht="15.75" customHeight="1">
      <c r="A275" s="1" t="s">
        <v>14</v>
      </c>
      <c r="B275" s="1">
        <v>1568268.0</v>
      </c>
      <c r="C275" s="1" t="s">
        <v>1534</v>
      </c>
      <c r="D275" s="1" t="s">
        <v>1539</v>
      </c>
      <c r="E275" s="1" t="s">
        <v>1467</v>
      </c>
      <c r="F275" s="1" t="s">
        <v>1540</v>
      </c>
      <c r="G275" s="1" t="s">
        <v>19</v>
      </c>
      <c r="H275" s="1" t="s">
        <v>1541</v>
      </c>
      <c r="I275" s="1" t="s">
        <v>1542</v>
      </c>
      <c r="J275" s="1" t="str">
        <f t="shared" si="1"/>
        <v>Non-Compliant</v>
      </c>
      <c r="K275" s="1" t="str">
        <f t="shared" si="2"/>
        <v>Non-Incentive</v>
      </c>
      <c r="L275" s="1" t="str">
        <f t="shared" si="3"/>
        <v>TUG</v>
      </c>
      <c r="M275" s="1">
        <f t="shared" si="4"/>
        <v>3</v>
      </c>
      <c r="N275" s="1">
        <f t="shared" si="5"/>
        <v>2017</v>
      </c>
    </row>
    <row r="276" ht="15.75" customHeight="1">
      <c r="A276" s="1" t="s">
        <v>14</v>
      </c>
      <c r="B276" s="1">
        <v>1579668.0</v>
      </c>
      <c r="C276" s="1" t="s">
        <v>1534</v>
      </c>
      <c r="D276" s="1" t="s">
        <v>1543</v>
      </c>
      <c r="E276" s="1" t="s">
        <v>1544</v>
      </c>
      <c r="F276" s="1" t="s">
        <v>1545</v>
      </c>
      <c r="G276" s="1" t="s">
        <v>19</v>
      </c>
      <c r="H276" s="1" t="s">
        <v>1546</v>
      </c>
      <c r="I276" s="1" t="s">
        <v>1547</v>
      </c>
      <c r="J276" s="1" t="str">
        <f t="shared" si="1"/>
        <v>Non-Compliant</v>
      </c>
      <c r="K276" s="1" t="str">
        <f t="shared" si="2"/>
        <v>Non-Incentive</v>
      </c>
      <c r="L276" s="1" t="str">
        <f t="shared" si="3"/>
        <v>TUG</v>
      </c>
      <c r="M276" s="1">
        <f t="shared" si="4"/>
        <v>3</v>
      </c>
      <c r="N276" s="1">
        <f t="shared" si="5"/>
        <v>2017</v>
      </c>
    </row>
    <row r="277" ht="15.75" customHeight="1">
      <c r="A277" s="1" t="s">
        <v>14</v>
      </c>
      <c r="B277" s="1">
        <v>1466520.0</v>
      </c>
      <c r="C277" s="1" t="s">
        <v>1465</v>
      </c>
      <c r="D277" s="1" t="s">
        <v>1466</v>
      </c>
      <c r="E277" s="1" t="s">
        <v>1467</v>
      </c>
      <c r="F277" s="1" t="s">
        <v>1468</v>
      </c>
      <c r="G277" s="1" t="s">
        <v>19</v>
      </c>
      <c r="H277" s="1" t="s">
        <v>1469</v>
      </c>
      <c r="I277" s="1" t="s">
        <v>1470</v>
      </c>
      <c r="J277" s="1" t="str">
        <f t="shared" si="1"/>
        <v>Non-Compliant</v>
      </c>
      <c r="K277" s="1" t="str">
        <f t="shared" si="2"/>
        <v>Non-Incentive</v>
      </c>
      <c r="L277" s="1" t="str">
        <f t="shared" si="3"/>
        <v>TUG</v>
      </c>
      <c r="M277" s="1">
        <f t="shared" si="4"/>
        <v>3</v>
      </c>
      <c r="N277" s="1">
        <f t="shared" si="5"/>
        <v>2017</v>
      </c>
    </row>
    <row r="278" ht="15.75" customHeight="1">
      <c r="A278" s="1" t="s">
        <v>14</v>
      </c>
      <c r="B278" s="1">
        <v>1512374.0</v>
      </c>
      <c r="C278" s="1" t="s">
        <v>1505</v>
      </c>
      <c r="D278" s="1" t="s">
        <v>1510</v>
      </c>
      <c r="E278" s="1" t="s">
        <v>1511</v>
      </c>
      <c r="F278" s="1" t="s">
        <v>1512</v>
      </c>
      <c r="G278" s="1" t="s">
        <v>19</v>
      </c>
      <c r="H278" s="1" t="s">
        <v>1513</v>
      </c>
      <c r="I278" s="1" t="s">
        <v>1470</v>
      </c>
      <c r="J278" s="1" t="str">
        <f t="shared" si="1"/>
        <v>Non-Compliant</v>
      </c>
      <c r="K278" s="1" t="str">
        <f t="shared" si="2"/>
        <v>Non-Incentive</v>
      </c>
      <c r="L278" s="1" t="str">
        <f t="shared" si="3"/>
        <v>TUG</v>
      </c>
      <c r="M278" s="1">
        <f t="shared" si="4"/>
        <v>3</v>
      </c>
      <c r="N278" s="1">
        <f t="shared" si="5"/>
        <v>2017</v>
      </c>
    </row>
    <row r="279" ht="15.75" customHeight="1">
      <c r="A279" s="1" t="s">
        <v>14</v>
      </c>
      <c r="B279" s="1">
        <v>1657961.0</v>
      </c>
      <c r="C279" s="1" t="s">
        <v>1579</v>
      </c>
      <c r="D279" s="1" t="s">
        <v>1580</v>
      </c>
      <c r="E279" s="1" t="s">
        <v>1581</v>
      </c>
      <c r="F279" s="1" t="s">
        <v>1582</v>
      </c>
      <c r="G279" s="1" t="s">
        <v>37</v>
      </c>
      <c r="H279" s="1" t="s">
        <v>1583</v>
      </c>
      <c r="I279" s="1" t="s">
        <v>1584</v>
      </c>
      <c r="J279" s="1" t="str">
        <f t="shared" si="1"/>
        <v>Non-Compliant</v>
      </c>
      <c r="K279" s="1" t="str">
        <f t="shared" si="2"/>
        <v>Non-Incentive</v>
      </c>
      <c r="L279" s="1" t="str">
        <f t="shared" si="3"/>
        <v>TUG</v>
      </c>
      <c r="M279" s="1">
        <f t="shared" si="4"/>
        <v>3</v>
      </c>
      <c r="N279" s="1">
        <f t="shared" si="5"/>
        <v>2017</v>
      </c>
    </row>
    <row r="280" ht="15.75" customHeight="1">
      <c r="A280" s="1" t="s">
        <v>14</v>
      </c>
      <c r="B280" s="1">
        <v>1367821.0</v>
      </c>
      <c r="C280" s="1" t="s">
        <v>1442</v>
      </c>
      <c r="D280" s="1" t="s">
        <v>1448</v>
      </c>
      <c r="E280" s="1" t="s">
        <v>1449</v>
      </c>
      <c r="F280" s="1" t="s">
        <v>1450</v>
      </c>
      <c r="G280" s="1" t="s">
        <v>19</v>
      </c>
      <c r="H280" s="1" t="s">
        <v>1451</v>
      </c>
      <c r="I280" s="1" t="s">
        <v>1452</v>
      </c>
      <c r="J280" s="1" t="str">
        <f t="shared" si="1"/>
        <v>Non-Compliant</v>
      </c>
      <c r="K280" s="1" t="str">
        <f t="shared" si="2"/>
        <v>Non-Incentive</v>
      </c>
      <c r="L280" s="1" t="str">
        <f t="shared" si="3"/>
        <v>TUG</v>
      </c>
      <c r="M280" s="1">
        <f t="shared" si="4"/>
        <v>3</v>
      </c>
      <c r="N280" s="1">
        <f t="shared" si="5"/>
        <v>2017</v>
      </c>
    </row>
    <row r="281" ht="15.75" customHeight="1">
      <c r="A281" s="1" t="s">
        <v>14</v>
      </c>
      <c r="B281" s="1">
        <v>1622551.0</v>
      </c>
      <c r="C281" s="1" t="s">
        <v>1553</v>
      </c>
      <c r="D281" s="1" t="s">
        <v>1568</v>
      </c>
      <c r="E281" s="1" t="s">
        <v>1549</v>
      </c>
      <c r="F281" s="1" t="s">
        <v>1569</v>
      </c>
      <c r="G281" s="1" t="s">
        <v>19</v>
      </c>
      <c r="H281" s="1" t="s">
        <v>1570</v>
      </c>
      <c r="I281" s="1" t="s">
        <v>1571</v>
      </c>
      <c r="J281" s="1" t="str">
        <f t="shared" si="1"/>
        <v>Non-Compliant</v>
      </c>
      <c r="K281" s="1" t="str">
        <f t="shared" si="2"/>
        <v>Non-Incentive</v>
      </c>
      <c r="L281" s="1" t="str">
        <f t="shared" si="3"/>
        <v>TUG</v>
      </c>
      <c r="M281" s="1">
        <f t="shared" si="4"/>
        <v>3</v>
      </c>
      <c r="N281" s="1">
        <f t="shared" si="5"/>
        <v>2017</v>
      </c>
    </row>
    <row r="282" ht="15.75" customHeight="1">
      <c r="A282" s="1" t="s">
        <v>14</v>
      </c>
      <c r="B282" s="1">
        <v>1622558.0</v>
      </c>
      <c r="C282" s="1" t="s">
        <v>1553</v>
      </c>
      <c r="D282" s="1" t="s">
        <v>1572</v>
      </c>
      <c r="E282" s="1" t="s">
        <v>1573</v>
      </c>
      <c r="F282" s="1" t="s">
        <v>1569</v>
      </c>
      <c r="G282" s="1" t="s">
        <v>19</v>
      </c>
      <c r="H282" s="1" t="s">
        <v>1574</v>
      </c>
      <c r="I282" s="1" t="s">
        <v>1571</v>
      </c>
      <c r="J282" s="1" t="str">
        <f t="shared" si="1"/>
        <v>Non-Compliant</v>
      </c>
      <c r="K282" s="1" t="str">
        <f t="shared" si="2"/>
        <v>Non-Incentive</v>
      </c>
      <c r="L282" s="1" t="str">
        <f t="shared" si="3"/>
        <v>TUG</v>
      </c>
      <c r="M282" s="1">
        <f t="shared" si="4"/>
        <v>3</v>
      </c>
      <c r="N282" s="1">
        <f t="shared" si="5"/>
        <v>2017</v>
      </c>
    </row>
    <row r="283" ht="15.75" customHeight="1">
      <c r="A283" s="1" t="s">
        <v>14</v>
      </c>
      <c r="B283" s="1">
        <v>1773615.0</v>
      </c>
      <c r="C283" s="1" t="s">
        <v>1639</v>
      </c>
      <c r="D283" s="1" t="s">
        <v>1645</v>
      </c>
      <c r="E283" s="1" t="s">
        <v>1603</v>
      </c>
      <c r="F283" s="1" t="s">
        <v>1646</v>
      </c>
      <c r="G283" s="1" t="s">
        <v>19</v>
      </c>
      <c r="H283" s="1" t="s">
        <v>1647</v>
      </c>
      <c r="I283" s="1" t="s">
        <v>1571</v>
      </c>
      <c r="J283" s="1" t="str">
        <f t="shared" si="1"/>
        <v>Non-Compliant</v>
      </c>
      <c r="K283" s="1" t="str">
        <f t="shared" si="2"/>
        <v>Non-Incentive</v>
      </c>
      <c r="L283" s="1" t="str">
        <f t="shared" si="3"/>
        <v>TUG</v>
      </c>
      <c r="M283" s="1">
        <f t="shared" si="4"/>
        <v>3</v>
      </c>
      <c r="N283" s="1">
        <f t="shared" si="5"/>
        <v>2017</v>
      </c>
    </row>
    <row r="284" ht="15.75" customHeight="1">
      <c r="A284" s="1" t="s">
        <v>14</v>
      </c>
      <c r="B284" s="1">
        <v>1630870.0</v>
      </c>
      <c r="C284" s="1" t="s">
        <v>1553</v>
      </c>
      <c r="D284" s="1" t="s">
        <v>1575</v>
      </c>
      <c r="E284" s="1" t="s">
        <v>1549</v>
      </c>
      <c r="F284" s="1" t="s">
        <v>1576</v>
      </c>
      <c r="G284" s="1" t="s">
        <v>19</v>
      </c>
      <c r="H284" s="1" t="s">
        <v>1577</v>
      </c>
      <c r="I284" s="1" t="s">
        <v>1578</v>
      </c>
      <c r="J284" s="1" t="str">
        <f t="shared" si="1"/>
        <v>Non-Compliant</v>
      </c>
      <c r="K284" s="1" t="str">
        <f t="shared" si="2"/>
        <v>Non-Incentive</v>
      </c>
      <c r="L284" s="1" t="str">
        <f t="shared" si="3"/>
        <v>TUG</v>
      </c>
      <c r="M284" s="1">
        <f t="shared" si="4"/>
        <v>3</v>
      </c>
      <c r="N284" s="1">
        <f t="shared" si="5"/>
        <v>2017</v>
      </c>
    </row>
    <row r="285" ht="15.75" customHeight="1">
      <c r="A285" s="1" t="s">
        <v>14</v>
      </c>
      <c r="B285" s="1">
        <v>1682294.0</v>
      </c>
      <c r="C285" s="1" t="s">
        <v>1585</v>
      </c>
      <c r="D285" s="1" t="s">
        <v>1602</v>
      </c>
      <c r="E285" s="1" t="s">
        <v>1603</v>
      </c>
      <c r="F285" s="1" t="s">
        <v>1604</v>
      </c>
      <c r="G285" s="1" t="s">
        <v>19</v>
      </c>
      <c r="H285" s="1" t="s">
        <v>1605</v>
      </c>
      <c r="I285" s="1" t="s">
        <v>1606</v>
      </c>
      <c r="J285" s="1" t="str">
        <f t="shared" si="1"/>
        <v>Non-Compliant</v>
      </c>
      <c r="K285" s="1" t="str">
        <f t="shared" si="2"/>
        <v>Non-Incentive</v>
      </c>
      <c r="L285" s="1" t="str">
        <f t="shared" si="3"/>
        <v>TUG</v>
      </c>
      <c r="M285" s="1">
        <f t="shared" si="4"/>
        <v>3</v>
      </c>
      <c r="N285" s="1">
        <f t="shared" si="5"/>
        <v>2017</v>
      </c>
    </row>
    <row r="286" ht="15.75" customHeight="1">
      <c r="A286" s="1" t="s">
        <v>14</v>
      </c>
      <c r="B286" s="1">
        <v>1868552.0</v>
      </c>
      <c r="C286" s="1" t="s">
        <v>1693</v>
      </c>
      <c r="D286" s="1" t="s">
        <v>1608</v>
      </c>
      <c r="E286" s="1" t="s">
        <v>1685</v>
      </c>
      <c r="F286" s="1" t="s">
        <v>1707</v>
      </c>
      <c r="G286" s="1" t="s">
        <v>37</v>
      </c>
      <c r="H286" s="1" t="s">
        <v>1708</v>
      </c>
      <c r="I286" s="1" t="s">
        <v>1709</v>
      </c>
      <c r="J286" s="1" t="str">
        <f t="shared" si="1"/>
        <v>Non-Compliant</v>
      </c>
      <c r="K286" s="1" t="str">
        <f t="shared" si="2"/>
        <v>Non-Incentive</v>
      </c>
      <c r="L286" s="1" t="str">
        <f t="shared" si="3"/>
        <v>TUG</v>
      </c>
      <c r="M286" s="1">
        <f t="shared" si="4"/>
        <v>3</v>
      </c>
      <c r="N286" s="1">
        <f t="shared" si="5"/>
        <v>2017</v>
      </c>
    </row>
    <row r="287" ht="15.75" customHeight="1">
      <c r="A287" s="1" t="s">
        <v>14</v>
      </c>
      <c r="B287" s="1">
        <v>1670652.0</v>
      </c>
      <c r="C287" s="1" t="s">
        <v>1585</v>
      </c>
      <c r="D287" s="1" t="s">
        <v>1590</v>
      </c>
      <c r="E287" s="1" t="s">
        <v>1591</v>
      </c>
      <c r="F287" s="1" t="s">
        <v>1592</v>
      </c>
      <c r="G287" s="1" t="s">
        <v>19</v>
      </c>
      <c r="H287" s="1" t="s">
        <v>1593</v>
      </c>
      <c r="I287" s="1" t="s">
        <v>1594</v>
      </c>
      <c r="J287" s="1" t="str">
        <f t="shared" si="1"/>
        <v>Non-Compliant</v>
      </c>
      <c r="K287" s="1" t="str">
        <f t="shared" si="2"/>
        <v>Non-Incentive</v>
      </c>
      <c r="L287" s="1" t="str">
        <f t="shared" si="3"/>
        <v>TUG</v>
      </c>
      <c r="M287" s="1">
        <f t="shared" si="4"/>
        <v>3</v>
      </c>
      <c r="N287" s="1">
        <f t="shared" si="5"/>
        <v>2017</v>
      </c>
    </row>
    <row r="288" ht="15.75" customHeight="1">
      <c r="A288" s="1" t="s">
        <v>14</v>
      </c>
      <c r="B288" s="1">
        <v>1809398.0</v>
      </c>
      <c r="C288" s="1" t="s">
        <v>1663</v>
      </c>
      <c r="D288" s="1" t="s">
        <v>1668</v>
      </c>
      <c r="E288" s="1" t="s">
        <v>1641</v>
      </c>
      <c r="F288" s="1" t="s">
        <v>1669</v>
      </c>
      <c r="G288" s="1" t="s">
        <v>37</v>
      </c>
      <c r="H288" s="1" t="s">
        <v>1670</v>
      </c>
      <c r="I288" s="1" t="s">
        <v>1671</v>
      </c>
      <c r="J288" s="1" t="str">
        <f t="shared" si="1"/>
        <v>Non-Compliant</v>
      </c>
      <c r="K288" s="1" t="str">
        <f t="shared" si="2"/>
        <v>Non-Incentive</v>
      </c>
      <c r="L288" s="1" t="str">
        <f t="shared" si="3"/>
        <v>TUG</v>
      </c>
      <c r="M288" s="1">
        <f t="shared" si="4"/>
        <v>3</v>
      </c>
      <c r="N288" s="1">
        <f t="shared" si="5"/>
        <v>2017</v>
      </c>
    </row>
    <row r="289" ht="15.75" customHeight="1">
      <c r="A289" s="1" t="s">
        <v>14</v>
      </c>
      <c r="B289" s="1">
        <v>1614481.0</v>
      </c>
      <c r="C289" s="1" t="s">
        <v>1553</v>
      </c>
      <c r="D289" s="1" t="s">
        <v>1558</v>
      </c>
      <c r="E289" s="1" t="s">
        <v>1559</v>
      </c>
      <c r="F289" s="1" t="s">
        <v>1560</v>
      </c>
      <c r="G289" s="1" t="s">
        <v>37</v>
      </c>
      <c r="H289" s="1" t="s">
        <v>1561</v>
      </c>
      <c r="I289" s="1" t="s">
        <v>1562</v>
      </c>
      <c r="J289" s="1" t="str">
        <f t="shared" si="1"/>
        <v>Non-Compliant</v>
      </c>
      <c r="K289" s="1" t="str">
        <f t="shared" si="2"/>
        <v>Non-Incentive</v>
      </c>
      <c r="L289" s="1" t="str">
        <f t="shared" si="3"/>
        <v>TUG</v>
      </c>
      <c r="M289" s="1">
        <f t="shared" si="4"/>
        <v>3</v>
      </c>
      <c r="N289" s="1">
        <f t="shared" si="5"/>
        <v>2017</v>
      </c>
    </row>
    <row r="290" ht="15.75" customHeight="1">
      <c r="A290" s="1" t="s">
        <v>14</v>
      </c>
      <c r="B290" s="1">
        <v>1865148.0</v>
      </c>
      <c r="C290" s="1" t="s">
        <v>1693</v>
      </c>
      <c r="D290" s="1" t="s">
        <v>1608</v>
      </c>
      <c r="E290" s="1" t="s">
        <v>1685</v>
      </c>
      <c r="F290" s="1" t="s">
        <v>1694</v>
      </c>
      <c r="G290" s="1" t="s">
        <v>37</v>
      </c>
      <c r="H290" s="1" t="s">
        <v>1695</v>
      </c>
      <c r="I290" s="1" t="s">
        <v>1696</v>
      </c>
      <c r="J290" s="1" t="str">
        <f t="shared" si="1"/>
        <v>Non-Compliant</v>
      </c>
      <c r="K290" s="1" t="str">
        <f t="shared" si="2"/>
        <v>Non-Incentive</v>
      </c>
      <c r="L290" s="1" t="str">
        <f t="shared" si="3"/>
        <v>TUG</v>
      </c>
      <c r="M290" s="1">
        <f t="shared" si="4"/>
        <v>3</v>
      </c>
      <c r="N290" s="1">
        <f t="shared" si="5"/>
        <v>2017</v>
      </c>
    </row>
    <row r="291" ht="15.75" customHeight="1">
      <c r="A291" s="1" t="s">
        <v>14</v>
      </c>
      <c r="B291" s="1">
        <v>7742310.0</v>
      </c>
      <c r="C291" s="1" t="s">
        <v>112</v>
      </c>
      <c r="D291" s="1" t="s">
        <v>113</v>
      </c>
      <c r="E291" s="1" t="s">
        <v>114</v>
      </c>
      <c r="F291" s="1" t="s">
        <v>115</v>
      </c>
      <c r="G291" s="1" t="s">
        <v>116</v>
      </c>
      <c r="H291" s="1" t="s">
        <v>117</v>
      </c>
      <c r="I291" s="1" t="s">
        <v>118</v>
      </c>
      <c r="J291" s="1" t="str">
        <f t="shared" si="1"/>
        <v>Non-Compliant</v>
      </c>
      <c r="K291" s="1" t="str">
        <f t="shared" si="2"/>
        <v>Non-Incentive</v>
      </c>
      <c r="L291" s="1" t="str">
        <f t="shared" si="3"/>
        <v>TUG</v>
      </c>
      <c r="M291" s="1">
        <f t="shared" si="4"/>
        <v>3</v>
      </c>
      <c r="N291" s="1">
        <f t="shared" si="5"/>
        <v>2017</v>
      </c>
    </row>
    <row r="292" ht="15.75" customHeight="1">
      <c r="A292" s="1" t="s">
        <v>14</v>
      </c>
      <c r="B292" s="1">
        <v>1090894.0</v>
      </c>
      <c r="C292" s="1" t="s">
        <v>1290</v>
      </c>
      <c r="D292" s="1" t="s">
        <v>1291</v>
      </c>
      <c r="E292" s="1" t="s">
        <v>1292</v>
      </c>
      <c r="F292" s="1" t="s">
        <v>1293</v>
      </c>
      <c r="G292" s="1" t="s">
        <v>19</v>
      </c>
      <c r="H292" s="1" t="s">
        <v>1294</v>
      </c>
      <c r="I292" s="1" t="s">
        <v>32</v>
      </c>
      <c r="J292" s="1" t="str">
        <f t="shared" si="1"/>
        <v>Non-Compliant</v>
      </c>
      <c r="K292" s="1" t="str">
        <f t="shared" si="2"/>
        <v>Non-Incentive</v>
      </c>
      <c r="L292" s="1" t="str">
        <f t="shared" si="3"/>
        <v>TUG</v>
      </c>
      <c r="M292" s="1">
        <f t="shared" si="4"/>
        <v>3</v>
      </c>
      <c r="N292" s="1">
        <f t="shared" si="5"/>
        <v>2017</v>
      </c>
    </row>
    <row r="293" ht="15.75" customHeight="1">
      <c r="A293" s="1" t="s">
        <v>14</v>
      </c>
      <c r="B293" s="1">
        <v>1223298.0</v>
      </c>
      <c r="C293" s="1" t="s">
        <v>1320</v>
      </c>
      <c r="D293" s="1" t="s">
        <v>1331</v>
      </c>
      <c r="E293" s="1" t="s">
        <v>1332</v>
      </c>
      <c r="F293" s="1" t="s">
        <v>1333</v>
      </c>
      <c r="G293" s="1" t="s">
        <v>37</v>
      </c>
      <c r="H293" s="1" t="s">
        <v>1334</v>
      </c>
      <c r="I293" s="1" t="s">
        <v>32</v>
      </c>
      <c r="J293" s="1" t="str">
        <f t="shared" si="1"/>
        <v>Non-Compliant</v>
      </c>
      <c r="K293" s="1" t="str">
        <f t="shared" si="2"/>
        <v>Non-Incentive</v>
      </c>
      <c r="L293" s="1" t="str">
        <f t="shared" si="3"/>
        <v>TUG</v>
      </c>
      <c r="M293" s="1">
        <f t="shared" si="4"/>
        <v>3</v>
      </c>
      <c r="N293" s="1">
        <f t="shared" si="5"/>
        <v>2017</v>
      </c>
    </row>
    <row r="294" ht="15.75" customHeight="1">
      <c r="A294" s="1" t="s">
        <v>14</v>
      </c>
      <c r="B294" s="1">
        <v>1223301.0</v>
      </c>
      <c r="C294" s="1" t="s">
        <v>1320</v>
      </c>
      <c r="D294" s="1" t="s">
        <v>1335</v>
      </c>
      <c r="E294" s="1" t="s">
        <v>1332</v>
      </c>
      <c r="F294" s="1" t="s">
        <v>1333</v>
      </c>
      <c r="G294" s="1" t="s">
        <v>37</v>
      </c>
      <c r="H294" s="1" t="s">
        <v>1336</v>
      </c>
      <c r="I294" s="1" t="s">
        <v>32</v>
      </c>
      <c r="J294" s="1" t="str">
        <f t="shared" si="1"/>
        <v>Non-Compliant</v>
      </c>
      <c r="K294" s="1" t="str">
        <f t="shared" si="2"/>
        <v>Non-Incentive</v>
      </c>
      <c r="L294" s="1" t="str">
        <f t="shared" si="3"/>
        <v>TUG</v>
      </c>
      <c r="M294" s="1">
        <f t="shared" si="4"/>
        <v>3</v>
      </c>
      <c r="N294" s="1">
        <f t="shared" si="5"/>
        <v>2017</v>
      </c>
    </row>
    <row r="295" ht="15.75" customHeight="1">
      <c r="A295" s="1" t="s">
        <v>14</v>
      </c>
      <c r="B295" s="1">
        <v>1789517.0</v>
      </c>
      <c r="C295" s="1" t="s">
        <v>1639</v>
      </c>
      <c r="D295" s="1" t="s">
        <v>1659</v>
      </c>
      <c r="E295" s="1" t="s">
        <v>1660</v>
      </c>
      <c r="F295" s="1" t="s">
        <v>1661</v>
      </c>
      <c r="G295" s="1" t="s">
        <v>19</v>
      </c>
      <c r="H295" s="1" t="s">
        <v>1662</v>
      </c>
      <c r="I295" s="1" t="s">
        <v>32</v>
      </c>
      <c r="J295" s="1" t="str">
        <f t="shared" si="1"/>
        <v>Non-Compliant</v>
      </c>
      <c r="K295" s="1" t="str">
        <f t="shared" si="2"/>
        <v>Non-Incentive</v>
      </c>
      <c r="L295" s="1" t="str">
        <f t="shared" si="3"/>
        <v>TUG</v>
      </c>
      <c r="M295" s="1">
        <f t="shared" si="4"/>
        <v>3</v>
      </c>
      <c r="N295" s="1">
        <f t="shared" si="5"/>
        <v>2017</v>
      </c>
    </row>
    <row r="296" ht="15.75" customHeight="1">
      <c r="A296" s="1" t="s">
        <v>14</v>
      </c>
      <c r="B296" s="1">
        <v>7183827.0</v>
      </c>
      <c r="C296" s="1" t="s">
        <v>27</v>
      </c>
      <c r="D296" s="1" t="s">
        <v>28</v>
      </c>
      <c r="E296" s="1" t="s">
        <v>29</v>
      </c>
      <c r="F296" s="1" t="s">
        <v>30</v>
      </c>
      <c r="G296" s="1" t="s">
        <v>19</v>
      </c>
      <c r="H296" s="1" t="s">
        <v>31</v>
      </c>
      <c r="I296" s="1" t="s">
        <v>32</v>
      </c>
      <c r="J296" s="1" t="str">
        <f t="shared" si="1"/>
        <v>Non-Compliant</v>
      </c>
      <c r="K296" s="1" t="str">
        <f t="shared" si="2"/>
        <v>Non-Incentive</v>
      </c>
      <c r="L296" s="1" t="str">
        <f t="shared" si="3"/>
        <v>TUG</v>
      </c>
      <c r="M296" s="1">
        <f t="shared" si="4"/>
        <v>3</v>
      </c>
      <c r="N296" s="1">
        <f t="shared" si="5"/>
        <v>2017</v>
      </c>
    </row>
    <row r="297" ht="15.75" customHeight="1">
      <c r="A297" s="1" t="s">
        <v>14</v>
      </c>
      <c r="B297" s="1">
        <v>7603758.0</v>
      </c>
      <c r="C297" s="1" t="s">
        <v>33</v>
      </c>
      <c r="D297" s="1" t="s">
        <v>34</v>
      </c>
      <c r="E297" s="1" t="s">
        <v>35</v>
      </c>
      <c r="F297" s="1" t="s">
        <v>36</v>
      </c>
      <c r="G297" s="1" t="s">
        <v>37</v>
      </c>
      <c r="H297" s="1" t="s">
        <v>38</v>
      </c>
      <c r="I297" s="1" t="s">
        <v>32</v>
      </c>
      <c r="J297" s="1" t="str">
        <f t="shared" si="1"/>
        <v>Non-Compliant</v>
      </c>
      <c r="K297" s="1" t="str">
        <f t="shared" si="2"/>
        <v>Non-Incentive</v>
      </c>
      <c r="L297" s="1" t="str">
        <f t="shared" si="3"/>
        <v>TUG</v>
      </c>
      <c r="M297" s="1">
        <f t="shared" si="4"/>
        <v>3</v>
      </c>
      <c r="N297" s="1">
        <f t="shared" si="5"/>
        <v>2017</v>
      </c>
    </row>
    <row r="298" ht="15.75" customHeight="1">
      <c r="A298" s="1" t="s">
        <v>14</v>
      </c>
      <c r="B298" s="1">
        <v>7638661.0</v>
      </c>
      <c r="C298" s="1" t="s">
        <v>44</v>
      </c>
      <c r="D298" s="1" t="s">
        <v>50</v>
      </c>
      <c r="E298" s="1" t="s">
        <v>51</v>
      </c>
      <c r="F298" s="1" t="s">
        <v>52</v>
      </c>
      <c r="G298" s="1" t="s">
        <v>37</v>
      </c>
      <c r="H298" s="1" t="s">
        <v>53</v>
      </c>
      <c r="I298" s="1" t="s">
        <v>32</v>
      </c>
      <c r="J298" s="1" t="str">
        <f t="shared" si="1"/>
        <v>Non-Compliant</v>
      </c>
      <c r="K298" s="1" t="str">
        <f t="shared" si="2"/>
        <v>Non-Incentive</v>
      </c>
      <c r="L298" s="1" t="str">
        <f t="shared" si="3"/>
        <v>TUG</v>
      </c>
      <c r="M298" s="1">
        <f t="shared" si="4"/>
        <v>3</v>
      </c>
      <c r="N298" s="1">
        <f t="shared" si="5"/>
        <v>2017</v>
      </c>
    </row>
    <row r="299" ht="15.75" customHeight="1">
      <c r="A299" s="1" t="s">
        <v>14</v>
      </c>
      <c r="B299" s="1">
        <v>7703453.0</v>
      </c>
      <c r="C299" s="1" t="s">
        <v>93</v>
      </c>
      <c r="D299" s="1" t="s">
        <v>94</v>
      </c>
      <c r="E299" s="1" t="s">
        <v>95</v>
      </c>
      <c r="F299" s="1" t="s">
        <v>96</v>
      </c>
      <c r="G299" s="1" t="s">
        <v>19</v>
      </c>
      <c r="H299" s="1" t="s">
        <v>97</v>
      </c>
      <c r="I299" s="1" t="s">
        <v>32</v>
      </c>
      <c r="J299" s="1" t="str">
        <f t="shared" si="1"/>
        <v>Non-Compliant</v>
      </c>
      <c r="K299" s="1" t="str">
        <f t="shared" si="2"/>
        <v>Non-Incentive</v>
      </c>
      <c r="L299" s="1" t="str">
        <f t="shared" si="3"/>
        <v>TUG</v>
      </c>
      <c r="M299" s="1">
        <f t="shared" si="4"/>
        <v>3</v>
      </c>
      <c r="N299" s="1">
        <f t="shared" si="5"/>
        <v>2017</v>
      </c>
    </row>
    <row r="300" ht="15.75" customHeight="1">
      <c r="A300" s="1" t="s">
        <v>14</v>
      </c>
      <c r="B300" s="1">
        <v>7751210.0</v>
      </c>
      <c r="C300" s="1" t="s">
        <v>112</v>
      </c>
      <c r="D300" s="1" t="s">
        <v>123</v>
      </c>
      <c r="E300" s="1" t="s">
        <v>89</v>
      </c>
      <c r="F300" s="1" t="s">
        <v>124</v>
      </c>
      <c r="G300" s="1" t="s">
        <v>19</v>
      </c>
      <c r="H300" s="1" t="s">
        <v>125</v>
      </c>
      <c r="I300" s="1" t="s">
        <v>32</v>
      </c>
      <c r="J300" s="1" t="str">
        <f t="shared" si="1"/>
        <v>Non-Compliant</v>
      </c>
      <c r="K300" s="1" t="str">
        <f t="shared" si="2"/>
        <v>Non-Incentive</v>
      </c>
      <c r="L300" s="1" t="str">
        <f t="shared" si="3"/>
        <v>TUG</v>
      </c>
      <c r="M300" s="1">
        <f t="shared" si="4"/>
        <v>3</v>
      </c>
      <c r="N300" s="1">
        <f t="shared" si="5"/>
        <v>2017</v>
      </c>
    </row>
    <row r="301" ht="15.75" customHeight="1">
      <c r="A301" s="1" t="s">
        <v>14</v>
      </c>
      <c r="B301" s="1">
        <v>7778178.0</v>
      </c>
      <c r="C301" s="1" t="s">
        <v>126</v>
      </c>
      <c r="D301" s="1" t="s">
        <v>151</v>
      </c>
      <c r="E301" s="1" t="s">
        <v>89</v>
      </c>
      <c r="F301" s="1" t="s">
        <v>152</v>
      </c>
      <c r="G301" s="1" t="s">
        <v>19</v>
      </c>
      <c r="H301" s="1" t="s">
        <v>153</v>
      </c>
      <c r="I301" s="1" t="s">
        <v>32</v>
      </c>
      <c r="J301" s="1" t="str">
        <f t="shared" si="1"/>
        <v>Non-Compliant</v>
      </c>
      <c r="K301" s="1" t="str">
        <f t="shared" si="2"/>
        <v>Non-Incentive</v>
      </c>
      <c r="L301" s="1" t="str">
        <f t="shared" si="3"/>
        <v>TUG</v>
      </c>
      <c r="M301" s="1">
        <f t="shared" si="4"/>
        <v>3</v>
      </c>
      <c r="N301" s="1">
        <f t="shared" si="5"/>
        <v>2017</v>
      </c>
    </row>
    <row r="302" ht="15.75" customHeight="1">
      <c r="A302" s="1" t="s">
        <v>14</v>
      </c>
      <c r="B302" s="1">
        <v>7826835.0</v>
      </c>
      <c r="C302" s="1" t="s">
        <v>187</v>
      </c>
      <c r="D302" s="1" t="s">
        <v>193</v>
      </c>
      <c r="E302" s="1" t="s">
        <v>194</v>
      </c>
      <c r="F302" s="1" t="s">
        <v>195</v>
      </c>
      <c r="G302" s="1" t="s">
        <v>19</v>
      </c>
      <c r="H302" s="1" t="s">
        <v>196</v>
      </c>
      <c r="I302" s="1" t="s">
        <v>32</v>
      </c>
      <c r="J302" s="1" t="str">
        <f t="shared" si="1"/>
        <v>Non-Compliant</v>
      </c>
      <c r="K302" s="1" t="str">
        <f t="shared" si="2"/>
        <v>Non-Incentive</v>
      </c>
      <c r="L302" s="1" t="str">
        <f t="shared" si="3"/>
        <v>TUG</v>
      </c>
      <c r="M302" s="1">
        <f t="shared" si="4"/>
        <v>3</v>
      </c>
      <c r="N302" s="1">
        <f t="shared" si="5"/>
        <v>2017</v>
      </c>
    </row>
    <row r="303" ht="15.75" customHeight="1">
      <c r="A303" s="1" t="s">
        <v>14</v>
      </c>
      <c r="B303" s="1">
        <v>7835799.0</v>
      </c>
      <c r="C303" s="1" t="s">
        <v>197</v>
      </c>
      <c r="D303" s="1" t="s">
        <v>198</v>
      </c>
      <c r="E303" s="1" t="s">
        <v>175</v>
      </c>
      <c r="F303" s="1" t="s">
        <v>199</v>
      </c>
      <c r="G303" s="1" t="s">
        <v>19</v>
      </c>
      <c r="H303" s="1" t="s">
        <v>200</v>
      </c>
      <c r="I303" s="1" t="s">
        <v>32</v>
      </c>
      <c r="J303" s="1" t="str">
        <f t="shared" si="1"/>
        <v>Non-Compliant</v>
      </c>
      <c r="K303" s="1" t="str">
        <f t="shared" si="2"/>
        <v>Non-Incentive</v>
      </c>
      <c r="L303" s="1" t="str">
        <f t="shared" si="3"/>
        <v>TUG</v>
      </c>
      <c r="M303" s="1">
        <f t="shared" si="4"/>
        <v>3</v>
      </c>
      <c r="N303" s="1">
        <f t="shared" si="5"/>
        <v>2017</v>
      </c>
    </row>
    <row r="304" ht="15.75" customHeight="1">
      <c r="A304" s="1" t="s">
        <v>14</v>
      </c>
      <c r="B304" s="1">
        <v>7862536.0</v>
      </c>
      <c r="C304" s="1" t="s">
        <v>210</v>
      </c>
      <c r="D304" s="1" t="s">
        <v>211</v>
      </c>
      <c r="E304" s="1" t="s">
        <v>147</v>
      </c>
      <c r="F304" s="1" t="s">
        <v>212</v>
      </c>
      <c r="G304" s="1" t="s">
        <v>37</v>
      </c>
      <c r="H304" s="1" t="s">
        <v>213</v>
      </c>
      <c r="I304" s="1" t="s">
        <v>32</v>
      </c>
      <c r="J304" s="1" t="str">
        <f t="shared" si="1"/>
        <v>Non-Compliant</v>
      </c>
      <c r="K304" s="1" t="str">
        <f t="shared" si="2"/>
        <v>Non-Incentive</v>
      </c>
      <c r="L304" s="1" t="str">
        <f t="shared" si="3"/>
        <v>TUG</v>
      </c>
      <c r="M304" s="1">
        <f t="shared" si="4"/>
        <v>3</v>
      </c>
      <c r="N304" s="1">
        <f t="shared" si="5"/>
        <v>2017</v>
      </c>
    </row>
    <row r="305" ht="15.75" customHeight="1">
      <c r="A305" s="1" t="s">
        <v>14</v>
      </c>
      <c r="B305" s="1">
        <v>7891039.0</v>
      </c>
      <c r="C305" s="1" t="s">
        <v>214</v>
      </c>
      <c r="D305" s="1" t="s">
        <v>219</v>
      </c>
      <c r="E305" s="1" t="s">
        <v>220</v>
      </c>
      <c r="F305" s="1" t="s">
        <v>221</v>
      </c>
      <c r="G305" s="1" t="s">
        <v>19</v>
      </c>
      <c r="H305" s="1" t="s">
        <v>222</v>
      </c>
      <c r="I305" s="1" t="s">
        <v>32</v>
      </c>
      <c r="J305" s="1" t="str">
        <f t="shared" si="1"/>
        <v>Non-Compliant</v>
      </c>
      <c r="K305" s="1" t="str">
        <f t="shared" si="2"/>
        <v>Non-Incentive</v>
      </c>
      <c r="L305" s="1" t="str">
        <f t="shared" si="3"/>
        <v>TUG</v>
      </c>
      <c r="M305" s="1">
        <f t="shared" si="4"/>
        <v>3</v>
      </c>
      <c r="N305" s="1">
        <f t="shared" si="5"/>
        <v>2017</v>
      </c>
    </row>
    <row r="306" ht="15.75" customHeight="1">
      <c r="A306" s="1" t="s">
        <v>14</v>
      </c>
      <c r="B306" s="1">
        <v>7935521.0</v>
      </c>
      <c r="C306" s="1" t="s">
        <v>245</v>
      </c>
      <c r="D306" s="1" t="s">
        <v>251</v>
      </c>
      <c r="E306" s="1" t="s">
        <v>234</v>
      </c>
      <c r="F306" s="1" t="s">
        <v>230</v>
      </c>
      <c r="G306" s="1" t="s">
        <v>19</v>
      </c>
      <c r="H306" s="1" t="s">
        <v>252</v>
      </c>
      <c r="I306" s="1" t="s">
        <v>32</v>
      </c>
      <c r="J306" s="1" t="str">
        <f t="shared" si="1"/>
        <v>Non-Compliant</v>
      </c>
      <c r="K306" s="1" t="str">
        <f t="shared" si="2"/>
        <v>Non-Incentive</v>
      </c>
      <c r="L306" s="1" t="str">
        <f t="shared" si="3"/>
        <v>TUG</v>
      </c>
      <c r="M306" s="1">
        <f t="shared" si="4"/>
        <v>3</v>
      </c>
      <c r="N306" s="1">
        <f t="shared" si="5"/>
        <v>2017</v>
      </c>
    </row>
    <row r="307" ht="15.75" customHeight="1">
      <c r="A307" s="1" t="s">
        <v>14</v>
      </c>
      <c r="B307" s="1">
        <v>7955843.0</v>
      </c>
      <c r="C307" s="1" t="s">
        <v>261</v>
      </c>
      <c r="D307" s="1" t="s">
        <v>262</v>
      </c>
      <c r="E307" s="1" t="s">
        <v>263</v>
      </c>
      <c r="F307" s="1" t="s">
        <v>264</v>
      </c>
      <c r="G307" s="1" t="s">
        <v>19</v>
      </c>
      <c r="H307" s="1" t="s">
        <v>265</v>
      </c>
      <c r="I307" s="1" t="s">
        <v>32</v>
      </c>
      <c r="J307" s="1" t="str">
        <f t="shared" si="1"/>
        <v>Non-Compliant</v>
      </c>
      <c r="K307" s="1" t="str">
        <f t="shared" si="2"/>
        <v>Non-Incentive</v>
      </c>
      <c r="L307" s="1" t="str">
        <f t="shared" si="3"/>
        <v>TUG</v>
      </c>
      <c r="M307" s="1">
        <f t="shared" si="4"/>
        <v>3</v>
      </c>
      <c r="N307" s="1">
        <f t="shared" si="5"/>
        <v>2017</v>
      </c>
    </row>
    <row r="308" ht="15.75" customHeight="1">
      <c r="A308" s="1" t="s">
        <v>14</v>
      </c>
      <c r="B308" s="1">
        <v>7958295.0</v>
      </c>
      <c r="C308" s="1" t="s">
        <v>261</v>
      </c>
      <c r="D308" s="1" t="s">
        <v>266</v>
      </c>
      <c r="E308" s="1" t="s">
        <v>267</v>
      </c>
      <c r="F308" s="1" t="s">
        <v>268</v>
      </c>
      <c r="G308" s="1" t="s">
        <v>19</v>
      </c>
      <c r="H308" s="1" t="s">
        <v>269</v>
      </c>
      <c r="I308" s="1" t="s">
        <v>32</v>
      </c>
      <c r="J308" s="1" t="str">
        <f t="shared" si="1"/>
        <v>Non-Compliant</v>
      </c>
      <c r="K308" s="1" t="str">
        <f t="shared" si="2"/>
        <v>Non-Incentive</v>
      </c>
      <c r="L308" s="1" t="str">
        <f t="shared" si="3"/>
        <v>TUG</v>
      </c>
      <c r="M308" s="1">
        <f t="shared" si="4"/>
        <v>3</v>
      </c>
      <c r="N308" s="1">
        <f t="shared" si="5"/>
        <v>2017</v>
      </c>
    </row>
    <row r="309" ht="15.75" customHeight="1">
      <c r="A309" s="1" t="s">
        <v>14</v>
      </c>
      <c r="B309" s="1">
        <v>8039228.0</v>
      </c>
      <c r="C309" s="1" t="s">
        <v>301</v>
      </c>
      <c r="D309" s="1" t="s">
        <v>312</v>
      </c>
      <c r="E309" s="1" t="s">
        <v>313</v>
      </c>
      <c r="F309" s="1" t="s">
        <v>314</v>
      </c>
      <c r="G309" s="1" t="s">
        <v>19</v>
      </c>
      <c r="H309" s="1" t="s">
        <v>315</v>
      </c>
      <c r="I309" s="1" t="s">
        <v>32</v>
      </c>
      <c r="J309" s="1" t="str">
        <f t="shared" si="1"/>
        <v>Non-Compliant</v>
      </c>
      <c r="K309" s="1" t="str">
        <f t="shared" si="2"/>
        <v>Non-Incentive</v>
      </c>
      <c r="L309" s="1" t="str">
        <f t="shared" si="3"/>
        <v>TUG</v>
      </c>
      <c r="M309" s="1">
        <f t="shared" si="4"/>
        <v>3</v>
      </c>
      <c r="N309" s="1">
        <f t="shared" si="5"/>
        <v>2017</v>
      </c>
    </row>
    <row r="310" ht="15.75" customHeight="1">
      <c r="A310" s="1" t="s">
        <v>14</v>
      </c>
      <c r="B310" s="1">
        <v>8128641.0</v>
      </c>
      <c r="C310" s="1" t="s">
        <v>362</v>
      </c>
      <c r="D310" s="1" t="s">
        <v>363</v>
      </c>
      <c r="E310" s="1" t="s">
        <v>364</v>
      </c>
      <c r="F310" s="1" t="s">
        <v>365</v>
      </c>
      <c r="G310" s="1" t="s">
        <v>19</v>
      </c>
      <c r="H310" s="1" t="s">
        <v>366</v>
      </c>
      <c r="I310" s="1" t="s">
        <v>32</v>
      </c>
      <c r="J310" s="1" t="str">
        <f t="shared" si="1"/>
        <v>Non-Compliant</v>
      </c>
      <c r="K310" s="1" t="str">
        <f t="shared" si="2"/>
        <v>Non-Incentive</v>
      </c>
      <c r="L310" s="1" t="str">
        <f t="shared" si="3"/>
        <v>TUG</v>
      </c>
      <c r="M310" s="1">
        <f t="shared" si="4"/>
        <v>3</v>
      </c>
      <c r="N310" s="1">
        <f t="shared" si="5"/>
        <v>2017</v>
      </c>
    </row>
    <row r="311" ht="15.75" customHeight="1">
      <c r="A311" s="1" t="s">
        <v>14</v>
      </c>
      <c r="B311" s="1">
        <v>8140947.0</v>
      </c>
      <c r="C311" s="1" t="s">
        <v>362</v>
      </c>
      <c r="D311" s="1" t="s">
        <v>371</v>
      </c>
      <c r="E311" s="1" t="s">
        <v>267</v>
      </c>
      <c r="F311" s="1" t="s">
        <v>372</v>
      </c>
      <c r="G311" s="1" t="s">
        <v>19</v>
      </c>
      <c r="H311" s="1" t="s">
        <v>373</v>
      </c>
      <c r="I311" s="1" t="s">
        <v>32</v>
      </c>
      <c r="J311" s="1" t="str">
        <f t="shared" si="1"/>
        <v>Non-Compliant</v>
      </c>
      <c r="K311" s="1" t="str">
        <f t="shared" si="2"/>
        <v>Non-Incentive</v>
      </c>
      <c r="L311" s="1" t="str">
        <f t="shared" si="3"/>
        <v>TUG</v>
      </c>
      <c r="M311" s="1">
        <f t="shared" si="4"/>
        <v>3</v>
      </c>
      <c r="N311" s="1">
        <f t="shared" si="5"/>
        <v>2017</v>
      </c>
    </row>
    <row r="312" ht="15.75" customHeight="1">
      <c r="A312" s="1" t="s">
        <v>14</v>
      </c>
      <c r="B312" s="1">
        <v>8180485.0</v>
      </c>
      <c r="C312" s="1" t="s">
        <v>407</v>
      </c>
      <c r="D312" s="1" t="s">
        <v>408</v>
      </c>
      <c r="E312" s="1" t="s">
        <v>375</v>
      </c>
      <c r="F312" s="1" t="s">
        <v>409</v>
      </c>
      <c r="G312" s="1" t="s">
        <v>37</v>
      </c>
      <c r="H312" s="1" t="s">
        <v>410</v>
      </c>
      <c r="I312" s="1" t="s">
        <v>32</v>
      </c>
      <c r="J312" s="1" t="str">
        <f t="shared" si="1"/>
        <v>Non-Compliant</v>
      </c>
      <c r="K312" s="1" t="str">
        <f t="shared" si="2"/>
        <v>Non-Incentive</v>
      </c>
      <c r="L312" s="1" t="str">
        <f t="shared" si="3"/>
        <v>TUG</v>
      </c>
      <c r="M312" s="1">
        <f t="shared" si="4"/>
        <v>3</v>
      </c>
      <c r="N312" s="1">
        <f t="shared" si="5"/>
        <v>2017</v>
      </c>
    </row>
    <row r="313" ht="15.75" customHeight="1">
      <c r="A313" s="1" t="s">
        <v>14</v>
      </c>
      <c r="B313" s="1">
        <v>8190870.0</v>
      </c>
      <c r="C313" s="1" t="s">
        <v>407</v>
      </c>
      <c r="D313" s="1" t="s">
        <v>411</v>
      </c>
      <c r="E313" s="1" t="s">
        <v>412</v>
      </c>
      <c r="F313" s="1" t="s">
        <v>413</v>
      </c>
      <c r="G313" s="1" t="s">
        <v>19</v>
      </c>
      <c r="H313" s="1" t="s">
        <v>414</v>
      </c>
      <c r="I313" s="1" t="s">
        <v>32</v>
      </c>
      <c r="J313" s="1" t="str">
        <f t="shared" si="1"/>
        <v>Non-Compliant</v>
      </c>
      <c r="K313" s="1" t="str">
        <f t="shared" si="2"/>
        <v>Non-Incentive</v>
      </c>
      <c r="L313" s="1" t="str">
        <f t="shared" si="3"/>
        <v>TUG</v>
      </c>
      <c r="M313" s="1">
        <f t="shared" si="4"/>
        <v>3</v>
      </c>
      <c r="N313" s="1">
        <f t="shared" si="5"/>
        <v>2017</v>
      </c>
    </row>
    <row r="314" ht="15.75" customHeight="1">
      <c r="A314" s="1" t="s">
        <v>14</v>
      </c>
      <c r="B314" s="1">
        <v>8204016.0</v>
      </c>
      <c r="C314" s="1" t="s">
        <v>415</v>
      </c>
      <c r="D314" s="1" t="s">
        <v>420</v>
      </c>
      <c r="E314" s="1" t="s">
        <v>412</v>
      </c>
      <c r="F314" s="1" t="s">
        <v>421</v>
      </c>
      <c r="G314" s="1" t="s">
        <v>19</v>
      </c>
      <c r="H314" s="1" t="s">
        <v>422</v>
      </c>
      <c r="I314" s="1" t="s">
        <v>32</v>
      </c>
      <c r="J314" s="1" t="str">
        <f t="shared" si="1"/>
        <v>Non-Compliant</v>
      </c>
      <c r="K314" s="1" t="str">
        <f t="shared" si="2"/>
        <v>Non-Incentive</v>
      </c>
      <c r="L314" s="1" t="str">
        <f t="shared" si="3"/>
        <v>TUG</v>
      </c>
      <c r="M314" s="1">
        <f t="shared" si="4"/>
        <v>3</v>
      </c>
      <c r="N314" s="1">
        <f t="shared" si="5"/>
        <v>2017</v>
      </c>
    </row>
    <row r="315" ht="15.75" customHeight="1">
      <c r="A315" s="1" t="s">
        <v>14</v>
      </c>
      <c r="B315" s="1">
        <v>8249349.0</v>
      </c>
      <c r="C315" s="1" t="s">
        <v>473</v>
      </c>
      <c r="D315" s="1" t="s">
        <v>478</v>
      </c>
      <c r="E315" s="1" t="s">
        <v>479</v>
      </c>
      <c r="F315" s="1" t="s">
        <v>480</v>
      </c>
      <c r="G315" s="1" t="s">
        <v>19</v>
      </c>
      <c r="H315" s="1" t="s">
        <v>481</v>
      </c>
      <c r="I315" s="1" t="s">
        <v>32</v>
      </c>
      <c r="J315" s="1" t="str">
        <f t="shared" si="1"/>
        <v>Non-Compliant</v>
      </c>
      <c r="K315" s="1" t="str">
        <f t="shared" si="2"/>
        <v>Non-Incentive</v>
      </c>
      <c r="L315" s="1" t="str">
        <f t="shared" si="3"/>
        <v>TUG</v>
      </c>
      <c r="M315" s="1">
        <f t="shared" si="4"/>
        <v>3</v>
      </c>
      <c r="N315" s="1">
        <f t="shared" si="5"/>
        <v>2017</v>
      </c>
    </row>
    <row r="316" ht="15.75" customHeight="1">
      <c r="A316" s="1" t="s">
        <v>14</v>
      </c>
      <c r="B316" s="1">
        <v>8263241.0</v>
      </c>
      <c r="C316" s="1" t="s">
        <v>473</v>
      </c>
      <c r="D316" s="1" t="s">
        <v>482</v>
      </c>
      <c r="E316" s="1" t="s">
        <v>479</v>
      </c>
      <c r="F316" s="1" t="s">
        <v>483</v>
      </c>
      <c r="G316" s="1" t="s">
        <v>19</v>
      </c>
      <c r="H316" s="1" t="s">
        <v>484</v>
      </c>
      <c r="I316" s="1" t="s">
        <v>32</v>
      </c>
      <c r="J316" s="1" t="str">
        <f t="shared" si="1"/>
        <v>Non-Compliant</v>
      </c>
      <c r="K316" s="1" t="str">
        <f t="shared" si="2"/>
        <v>Non-Incentive</v>
      </c>
      <c r="L316" s="1" t="str">
        <f t="shared" si="3"/>
        <v>TUG</v>
      </c>
      <c r="M316" s="1">
        <f t="shared" si="4"/>
        <v>3</v>
      </c>
      <c r="N316" s="1">
        <f t="shared" si="5"/>
        <v>2017</v>
      </c>
    </row>
    <row r="317" ht="15.75" customHeight="1">
      <c r="A317" s="1" t="s">
        <v>14</v>
      </c>
      <c r="B317" s="1">
        <v>8398137.0</v>
      </c>
      <c r="C317" s="1" t="s">
        <v>554</v>
      </c>
      <c r="D317" s="1" t="s">
        <v>563</v>
      </c>
      <c r="E317" s="1" t="s">
        <v>551</v>
      </c>
      <c r="F317" s="1" t="s">
        <v>564</v>
      </c>
      <c r="G317" s="1" t="s">
        <v>19</v>
      </c>
      <c r="H317" s="1" t="s">
        <v>565</v>
      </c>
      <c r="I317" s="1" t="s">
        <v>32</v>
      </c>
      <c r="J317" s="1" t="str">
        <f t="shared" si="1"/>
        <v>Non-Compliant</v>
      </c>
      <c r="K317" s="1" t="str">
        <f t="shared" si="2"/>
        <v>Non-Incentive</v>
      </c>
      <c r="L317" s="1" t="str">
        <f t="shared" si="3"/>
        <v>TUG</v>
      </c>
      <c r="M317" s="1">
        <f t="shared" si="4"/>
        <v>3</v>
      </c>
      <c r="N317" s="1">
        <f t="shared" si="5"/>
        <v>2017</v>
      </c>
    </row>
    <row r="318" ht="15.75" customHeight="1">
      <c r="A318" s="1" t="s">
        <v>14</v>
      </c>
      <c r="B318" s="1">
        <v>8411392.0</v>
      </c>
      <c r="C318" s="1" t="s">
        <v>566</v>
      </c>
      <c r="D318" s="1" t="s">
        <v>567</v>
      </c>
      <c r="E318" s="1" t="s">
        <v>568</v>
      </c>
      <c r="F318" s="1" t="s">
        <v>569</v>
      </c>
      <c r="G318" s="1" t="s">
        <v>37</v>
      </c>
      <c r="H318" s="1" t="s">
        <v>570</v>
      </c>
      <c r="I318" s="1" t="s">
        <v>32</v>
      </c>
      <c r="J318" s="1" t="str">
        <f t="shared" si="1"/>
        <v>Non-Compliant</v>
      </c>
      <c r="K318" s="1" t="str">
        <f t="shared" si="2"/>
        <v>Non-Incentive</v>
      </c>
      <c r="L318" s="1" t="str">
        <f t="shared" si="3"/>
        <v>TUG</v>
      </c>
      <c r="M318" s="1">
        <f t="shared" si="4"/>
        <v>3</v>
      </c>
      <c r="N318" s="1">
        <f t="shared" si="5"/>
        <v>2017</v>
      </c>
    </row>
    <row r="319" ht="15.75" customHeight="1">
      <c r="A319" s="1" t="s">
        <v>14</v>
      </c>
      <c r="B319" s="1">
        <v>8457825.0</v>
      </c>
      <c r="C319" s="1" t="s">
        <v>596</v>
      </c>
      <c r="D319" s="1" t="s">
        <v>602</v>
      </c>
      <c r="E319" s="1" t="s">
        <v>540</v>
      </c>
      <c r="F319" s="1" t="s">
        <v>603</v>
      </c>
      <c r="G319" s="1" t="s">
        <v>19</v>
      </c>
      <c r="H319" s="1" t="s">
        <v>604</v>
      </c>
      <c r="I319" s="1" t="s">
        <v>32</v>
      </c>
      <c r="J319" s="1" t="str">
        <f t="shared" si="1"/>
        <v>Non-Compliant</v>
      </c>
      <c r="K319" s="1" t="str">
        <f t="shared" si="2"/>
        <v>Non-Incentive</v>
      </c>
      <c r="L319" s="1" t="str">
        <f t="shared" si="3"/>
        <v>TUG</v>
      </c>
      <c r="M319" s="1">
        <f t="shared" si="4"/>
        <v>3</v>
      </c>
      <c r="N319" s="1">
        <f t="shared" si="5"/>
        <v>2017</v>
      </c>
    </row>
    <row r="320" ht="15.75" customHeight="1">
      <c r="A320" s="1" t="s">
        <v>14</v>
      </c>
      <c r="B320" s="1">
        <v>8551635.0</v>
      </c>
      <c r="C320" s="1" t="s">
        <v>658</v>
      </c>
      <c r="D320" s="1" t="s">
        <v>659</v>
      </c>
      <c r="E320" s="1" t="s">
        <v>660</v>
      </c>
      <c r="F320" s="1" t="s">
        <v>661</v>
      </c>
      <c r="G320" s="1" t="s">
        <v>37</v>
      </c>
      <c r="H320" s="1" t="s">
        <v>662</v>
      </c>
      <c r="I320" s="1" t="s">
        <v>32</v>
      </c>
      <c r="J320" s="1" t="str">
        <f t="shared" si="1"/>
        <v>Non-Compliant</v>
      </c>
      <c r="K320" s="1" t="str">
        <f t="shared" si="2"/>
        <v>Non-Incentive</v>
      </c>
      <c r="L320" s="1" t="str">
        <f t="shared" si="3"/>
        <v>TUG</v>
      </c>
      <c r="M320" s="1">
        <f t="shared" si="4"/>
        <v>3</v>
      </c>
      <c r="N320" s="1">
        <f t="shared" si="5"/>
        <v>2017</v>
      </c>
    </row>
    <row r="321" ht="15.75" customHeight="1">
      <c r="A321" s="1" t="s">
        <v>14</v>
      </c>
      <c r="B321" s="1">
        <v>8600398.0</v>
      </c>
      <c r="C321" s="1" t="s">
        <v>687</v>
      </c>
      <c r="D321" s="1" t="s">
        <v>688</v>
      </c>
      <c r="E321" s="1" t="s">
        <v>665</v>
      </c>
      <c r="F321" s="1" t="s">
        <v>661</v>
      </c>
      <c r="G321" s="1" t="s">
        <v>19</v>
      </c>
      <c r="H321" s="1" t="s">
        <v>689</v>
      </c>
      <c r="I321" s="1" t="s">
        <v>32</v>
      </c>
      <c r="J321" s="1" t="str">
        <f t="shared" si="1"/>
        <v>Non-Compliant</v>
      </c>
      <c r="K321" s="1" t="str">
        <f t="shared" si="2"/>
        <v>Non-Incentive</v>
      </c>
      <c r="L321" s="1" t="str">
        <f t="shared" si="3"/>
        <v>TUG</v>
      </c>
      <c r="M321" s="1">
        <f t="shared" si="4"/>
        <v>3</v>
      </c>
      <c r="N321" s="1">
        <f t="shared" si="5"/>
        <v>2017</v>
      </c>
    </row>
    <row r="322" ht="15.75" customHeight="1">
      <c r="A322" s="1" t="s">
        <v>14</v>
      </c>
      <c r="B322" s="1">
        <v>8607674.0</v>
      </c>
      <c r="C322" s="1" t="s">
        <v>687</v>
      </c>
      <c r="D322" s="1" t="s">
        <v>704</v>
      </c>
      <c r="E322" s="1" t="s">
        <v>705</v>
      </c>
      <c r="F322" s="1" t="s">
        <v>706</v>
      </c>
      <c r="G322" s="1" t="s">
        <v>19</v>
      </c>
      <c r="H322" s="1" t="s">
        <v>707</v>
      </c>
      <c r="I322" s="1" t="s">
        <v>32</v>
      </c>
      <c r="J322" s="1" t="str">
        <f t="shared" si="1"/>
        <v>Non-Compliant</v>
      </c>
      <c r="K322" s="1" t="str">
        <f t="shared" si="2"/>
        <v>Non-Incentive</v>
      </c>
      <c r="L322" s="1" t="str">
        <f t="shared" si="3"/>
        <v>TUG</v>
      </c>
      <c r="M322" s="1">
        <f t="shared" si="4"/>
        <v>3</v>
      </c>
      <c r="N322" s="1">
        <f t="shared" si="5"/>
        <v>2017</v>
      </c>
    </row>
    <row r="323" ht="15.75" customHeight="1">
      <c r="A323" s="1" t="s">
        <v>14</v>
      </c>
      <c r="B323" s="1">
        <v>8964619.0</v>
      </c>
      <c r="C323" s="1" t="s">
        <v>880</v>
      </c>
      <c r="D323" s="1" t="s">
        <v>892</v>
      </c>
      <c r="E323" s="1" t="s">
        <v>893</v>
      </c>
      <c r="F323" s="1" t="s">
        <v>894</v>
      </c>
      <c r="G323" s="1" t="s">
        <v>19</v>
      </c>
      <c r="H323" s="1" t="s">
        <v>895</v>
      </c>
      <c r="I323" s="1" t="s">
        <v>32</v>
      </c>
      <c r="J323" s="1" t="str">
        <f t="shared" si="1"/>
        <v>Non-Compliant</v>
      </c>
      <c r="K323" s="1" t="str">
        <f t="shared" si="2"/>
        <v>Non-Incentive</v>
      </c>
      <c r="L323" s="1" t="str">
        <f t="shared" si="3"/>
        <v>TUG</v>
      </c>
      <c r="M323" s="1">
        <f t="shared" si="4"/>
        <v>3</v>
      </c>
      <c r="N323" s="1">
        <f t="shared" si="5"/>
        <v>2017</v>
      </c>
    </row>
    <row r="324" ht="15.75" customHeight="1">
      <c r="A324" s="1" t="s">
        <v>14</v>
      </c>
      <c r="B324" s="1">
        <v>9225719.0</v>
      </c>
      <c r="C324" s="1" t="s">
        <v>999</v>
      </c>
      <c r="D324" s="1" t="s">
        <v>1005</v>
      </c>
      <c r="E324" s="1" t="s">
        <v>1006</v>
      </c>
      <c r="F324" s="1" t="s">
        <v>1007</v>
      </c>
      <c r="G324" s="1" t="s">
        <v>19</v>
      </c>
      <c r="H324" s="1" t="s">
        <v>1008</v>
      </c>
      <c r="I324" s="1" t="s">
        <v>32</v>
      </c>
      <c r="J324" s="1" t="str">
        <f t="shared" si="1"/>
        <v>Non-Compliant</v>
      </c>
      <c r="K324" s="1" t="str">
        <f t="shared" si="2"/>
        <v>Non-Incentive</v>
      </c>
      <c r="L324" s="1" t="str">
        <f t="shared" si="3"/>
        <v>TUG</v>
      </c>
      <c r="M324" s="1">
        <f t="shared" si="4"/>
        <v>3</v>
      </c>
      <c r="N324" s="1">
        <f t="shared" si="5"/>
        <v>2017</v>
      </c>
    </row>
    <row r="325" ht="15.75" customHeight="1">
      <c r="A325" s="1" t="s">
        <v>14</v>
      </c>
      <c r="B325" s="1">
        <v>9312599.0</v>
      </c>
      <c r="C325" s="1" t="s">
        <v>1024</v>
      </c>
      <c r="D325" s="1" t="s">
        <v>1025</v>
      </c>
      <c r="E325" s="1" t="s">
        <v>1026</v>
      </c>
      <c r="F325" s="1" t="s">
        <v>1027</v>
      </c>
      <c r="G325" s="1" t="s">
        <v>37</v>
      </c>
      <c r="H325" s="1" t="s">
        <v>1028</v>
      </c>
      <c r="I325" s="1" t="s">
        <v>32</v>
      </c>
      <c r="J325" s="1" t="str">
        <f t="shared" si="1"/>
        <v>Non-Compliant</v>
      </c>
      <c r="K325" s="1" t="str">
        <f t="shared" si="2"/>
        <v>Non-Incentive</v>
      </c>
      <c r="L325" s="1" t="str">
        <f t="shared" si="3"/>
        <v>TUG</v>
      </c>
      <c r="M325" s="1">
        <f t="shared" si="4"/>
        <v>3</v>
      </c>
      <c r="N325" s="1">
        <f t="shared" si="5"/>
        <v>2017</v>
      </c>
    </row>
    <row r="326" ht="15.75" customHeight="1">
      <c r="A326" s="1" t="s">
        <v>14</v>
      </c>
      <c r="B326" s="1">
        <v>9361492.0</v>
      </c>
      <c r="C326" s="1" t="s">
        <v>1038</v>
      </c>
      <c r="D326" s="1" t="s">
        <v>1052</v>
      </c>
      <c r="E326" s="1" t="s">
        <v>1053</v>
      </c>
      <c r="F326" s="1" t="s">
        <v>1017</v>
      </c>
      <c r="G326" s="1" t="s">
        <v>37</v>
      </c>
      <c r="H326" s="1" t="s">
        <v>1054</v>
      </c>
      <c r="I326" s="1" t="s">
        <v>32</v>
      </c>
      <c r="J326" s="1" t="str">
        <f t="shared" si="1"/>
        <v>Non-Compliant</v>
      </c>
      <c r="K326" s="1" t="str">
        <f t="shared" si="2"/>
        <v>Non-Incentive</v>
      </c>
      <c r="L326" s="1" t="str">
        <f t="shared" si="3"/>
        <v>TUG</v>
      </c>
      <c r="M326" s="1">
        <f t="shared" si="4"/>
        <v>3</v>
      </c>
      <c r="N326" s="1">
        <f t="shared" si="5"/>
        <v>2017</v>
      </c>
    </row>
    <row r="327" ht="15.75" customHeight="1">
      <c r="A327" s="1" t="s">
        <v>14</v>
      </c>
      <c r="B327" s="1">
        <v>9675183.0</v>
      </c>
      <c r="C327" s="1" t="s">
        <v>1145</v>
      </c>
      <c r="D327" s="1" t="s">
        <v>1146</v>
      </c>
      <c r="E327" s="1" t="s">
        <v>1147</v>
      </c>
      <c r="F327" s="1" t="s">
        <v>1148</v>
      </c>
      <c r="G327" s="1" t="s">
        <v>19</v>
      </c>
      <c r="H327" s="1" t="s">
        <v>1149</v>
      </c>
      <c r="I327" s="1" t="s">
        <v>32</v>
      </c>
      <c r="J327" s="1" t="str">
        <f t="shared" si="1"/>
        <v>Non-Compliant</v>
      </c>
      <c r="K327" s="1" t="str">
        <f t="shared" si="2"/>
        <v>Non-Incentive</v>
      </c>
      <c r="L327" s="1" t="str">
        <f t="shared" si="3"/>
        <v>TUG</v>
      </c>
      <c r="M327" s="1">
        <f t="shared" si="4"/>
        <v>3</v>
      </c>
      <c r="N327" s="1">
        <f t="shared" si="5"/>
        <v>2017</v>
      </c>
    </row>
    <row r="328" ht="15.75" customHeight="1">
      <c r="A328" s="1" t="s">
        <v>14</v>
      </c>
      <c r="B328" s="1">
        <v>9687200.0</v>
      </c>
      <c r="C328" s="1" t="s">
        <v>1145</v>
      </c>
      <c r="D328" s="1" t="s">
        <v>1158</v>
      </c>
      <c r="E328" s="1" t="s">
        <v>1135</v>
      </c>
      <c r="F328" s="1" t="s">
        <v>1159</v>
      </c>
      <c r="G328" s="1" t="s">
        <v>1160</v>
      </c>
      <c r="H328" s="1" t="s">
        <v>1161</v>
      </c>
      <c r="I328" s="1" t="s">
        <v>32</v>
      </c>
      <c r="J328" s="1" t="str">
        <f t="shared" si="1"/>
        <v>Non-Compliant</v>
      </c>
      <c r="K328" s="1" t="str">
        <f t="shared" si="2"/>
        <v>Non-Incentive</v>
      </c>
      <c r="L328" s="1" t="str">
        <f t="shared" si="3"/>
        <v>TUG</v>
      </c>
      <c r="M328" s="1">
        <f t="shared" si="4"/>
        <v>3</v>
      </c>
      <c r="N328" s="1">
        <f t="shared" si="5"/>
        <v>2017</v>
      </c>
    </row>
    <row r="329" ht="15.75" customHeight="1">
      <c r="A329" s="1" t="s">
        <v>14</v>
      </c>
      <c r="B329" s="1">
        <v>9962200.0</v>
      </c>
      <c r="C329" s="1" t="s">
        <v>1225</v>
      </c>
      <c r="D329" s="1" t="s">
        <v>1226</v>
      </c>
      <c r="E329" s="1" t="s">
        <v>1227</v>
      </c>
      <c r="F329" s="1" t="s">
        <v>1228</v>
      </c>
      <c r="G329" s="1" t="s">
        <v>19</v>
      </c>
      <c r="H329" s="1" t="s">
        <v>1229</v>
      </c>
      <c r="I329" s="1" t="s">
        <v>32</v>
      </c>
      <c r="J329" s="1" t="str">
        <f t="shared" si="1"/>
        <v>Non-Compliant</v>
      </c>
      <c r="K329" s="1" t="str">
        <f t="shared" si="2"/>
        <v>Non-Incentive</v>
      </c>
      <c r="L329" s="1" t="str">
        <f t="shared" si="3"/>
        <v>TUG</v>
      </c>
      <c r="M329" s="1">
        <f t="shared" si="4"/>
        <v>3</v>
      </c>
      <c r="N329" s="1">
        <f t="shared" si="5"/>
        <v>2017</v>
      </c>
    </row>
    <row r="330" ht="15.75" customHeight="1">
      <c r="A330" s="1" t="s">
        <v>14</v>
      </c>
      <c r="B330" s="1">
        <v>9962305.0</v>
      </c>
      <c r="C330" s="1" t="s">
        <v>1225</v>
      </c>
      <c r="D330" s="1" t="s">
        <v>1230</v>
      </c>
      <c r="E330" s="1" t="s">
        <v>1231</v>
      </c>
      <c r="F330" s="1" t="s">
        <v>1232</v>
      </c>
      <c r="G330" s="1" t="s">
        <v>19</v>
      </c>
      <c r="H330" s="1" t="s">
        <v>1233</v>
      </c>
      <c r="I330" s="1" t="s">
        <v>32</v>
      </c>
      <c r="J330" s="1" t="str">
        <f t="shared" si="1"/>
        <v>Non-Compliant</v>
      </c>
      <c r="K330" s="1" t="str">
        <f t="shared" si="2"/>
        <v>Non-Incentive</v>
      </c>
      <c r="L330" s="1" t="str">
        <f t="shared" si="3"/>
        <v>TUG</v>
      </c>
      <c r="M330" s="1">
        <f t="shared" si="4"/>
        <v>3</v>
      </c>
      <c r="N330" s="1">
        <f t="shared" si="5"/>
        <v>2017</v>
      </c>
    </row>
    <row r="331" ht="15.75" customHeight="1">
      <c r="A331" s="1" t="s">
        <v>14</v>
      </c>
      <c r="B331" s="1">
        <v>8140525.0</v>
      </c>
      <c r="C331" s="1" t="s">
        <v>362</v>
      </c>
      <c r="D331" s="1" t="s">
        <v>367</v>
      </c>
      <c r="E331" s="1" t="s">
        <v>267</v>
      </c>
      <c r="F331" s="1" t="s">
        <v>368</v>
      </c>
      <c r="G331" s="1" t="s">
        <v>19</v>
      </c>
      <c r="H331" s="1" t="s">
        <v>369</v>
      </c>
      <c r="I331" s="1" t="s">
        <v>370</v>
      </c>
      <c r="J331" s="1" t="str">
        <f t="shared" si="1"/>
        <v>Non-Compliant</v>
      </c>
      <c r="K331" s="1" t="str">
        <f t="shared" si="2"/>
        <v>Non-Incentive</v>
      </c>
      <c r="L331" s="1" t="str">
        <f t="shared" si="3"/>
        <v>TUG</v>
      </c>
      <c r="M331" s="1">
        <f t="shared" si="4"/>
        <v>3</v>
      </c>
      <c r="N331" s="1">
        <f t="shared" si="5"/>
        <v>2017</v>
      </c>
    </row>
    <row r="332" ht="15.75" customHeight="1">
      <c r="A332" s="1" t="s">
        <v>14</v>
      </c>
      <c r="B332" s="1">
        <v>7795473.0</v>
      </c>
      <c r="C332" s="1" t="s">
        <v>159</v>
      </c>
      <c r="D332" s="1" t="s">
        <v>169</v>
      </c>
      <c r="E332" s="1" t="s">
        <v>170</v>
      </c>
      <c r="F332" s="1" t="s">
        <v>171</v>
      </c>
      <c r="G332" s="1" t="s">
        <v>19</v>
      </c>
      <c r="H332" s="1" t="s">
        <v>172</v>
      </c>
      <c r="I332" s="1" t="s">
        <v>173</v>
      </c>
      <c r="J332" s="1" t="str">
        <f t="shared" si="1"/>
        <v>Non-Compliant</v>
      </c>
      <c r="K332" s="1" t="str">
        <f t="shared" si="2"/>
        <v>Non-Incentive</v>
      </c>
      <c r="L332" s="1" t="str">
        <f t="shared" si="3"/>
        <v>TUG</v>
      </c>
      <c r="M332" s="1">
        <f t="shared" si="4"/>
        <v>3</v>
      </c>
      <c r="N332" s="1">
        <f t="shared" si="5"/>
        <v>2017</v>
      </c>
    </row>
    <row r="333" ht="15.75" customHeight="1">
      <c r="A333" s="1" t="s">
        <v>14</v>
      </c>
      <c r="B333" s="1">
        <v>7759192.0</v>
      </c>
      <c r="C333" s="1" t="s">
        <v>126</v>
      </c>
      <c r="D333" s="1" t="s">
        <v>127</v>
      </c>
      <c r="E333" s="1" t="s">
        <v>128</v>
      </c>
      <c r="F333" s="1" t="s">
        <v>129</v>
      </c>
      <c r="G333" s="1" t="s">
        <v>19</v>
      </c>
      <c r="H333" s="1" t="s">
        <v>130</v>
      </c>
      <c r="I333" s="1" t="s">
        <v>131</v>
      </c>
      <c r="J333" s="1" t="str">
        <f t="shared" si="1"/>
        <v>Non-Compliant</v>
      </c>
      <c r="K333" s="1" t="str">
        <f t="shared" si="2"/>
        <v>Non-Incentive</v>
      </c>
      <c r="L333" s="1" t="str">
        <f t="shared" si="3"/>
        <v>TUG</v>
      </c>
      <c r="M333" s="1">
        <f t="shared" si="4"/>
        <v>3</v>
      </c>
      <c r="N333" s="1">
        <f t="shared" si="5"/>
        <v>2017</v>
      </c>
    </row>
    <row r="334" ht="15.75" customHeight="1">
      <c r="A334" s="1" t="s">
        <v>14</v>
      </c>
      <c r="B334" s="1">
        <v>8018847.0</v>
      </c>
      <c r="C334" s="1" t="s">
        <v>296</v>
      </c>
      <c r="D334" s="1" t="s">
        <v>297</v>
      </c>
      <c r="E334" s="1" t="s">
        <v>292</v>
      </c>
      <c r="F334" s="1" t="s">
        <v>298</v>
      </c>
      <c r="G334" s="1" t="s">
        <v>19</v>
      </c>
      <c r="H334" s="1" t="s">
        <v>299</v>
      </c>
      <c r="I334" s="1" t="s">
        <v>300</v>
      </c>
      <c r="J334" s="1" t="str">
        <f t="shared" si="1"/>
        <v>Non-Compliant</v>
      </c>
      <c r="K334" s="1" t="str">
        <f t="shared" si="2"/>
        <v>Non-Incentive</v>
      </c>
      <c r="L334" s="1" t="str">
        <f t="shared" si="3"/>
        <v>TUG</v>
      </c>
      <c r="M334" s="1">
        <f t="shared" si="4"/>
        <v>3</v>
      </c>
      <c r="N334" s="1">
        <f t="shared" si="5"/>
        <v>2017</v>
      </c>
    </row>
    <row r="335" ht="15.75" customHeight="1">
      <c r="A335" s="1" t="s">
        <v>14</v>
      </c>
      <c r="B335" s="1">
        <v>8239122.0</v>
      </c>
      <c r="C335" s="1" t="s">
        <v>448</v>
      </c>
      <c r="D335" s="1" t="s">
        <v>458</v>
      </c>
      <c r="E335" s="1" t="s">
        <v>358</v>
      </c>
      <c r="F335" s="1" t="s">
        <v>459</v>
      </c>
      <c r="G335" s="1" t="s">
        <v>460</v>
      </c>
      <c r="H335" s="1" t="s">
        <v>461</v>
      </c>
      <c r="I335" s="1" t="s">
        <v>462</v>
      </c>
      <c r="J335" s="1" t="str">
        <f t="shared" si="1"/>
        <v>Non-Compliant</v>
      </c>
      <c r="K335" s="1" t="str">
        <f t="shared" si="2"/>
        <v>Non-Incentive</v>
      </c>
      <c r="L335" s="1" t="str">
        <f t="shared" si="3"/>
        <v>TUG</v>
      </c>
      <c r="M335" s="1">
        <f t="shared" si="4"/>
        <v>3</v>
      </c>
      <c r="N335" s="1">
        <f t="shared" si="5"/>
        <v>2017</v>
      </c>
    </row>
    <row r="336" ht="15.75" customHeight="1">
      <c r="A336" s="1" t="s">
        <v>14</v>
      </c>
      <c r="B336" s="1">
        <v>8239128.0</v>
      </c>
      <c r="C336" s="1" t="s">
        <v>448</v>
      </c>
      <c r="D336" s="1" t="s">
        <v>463</v>
      </c>
      <c r="E336" s="1" t="s">
        <v>358</v>
      </c>
      <c r="F336" s="1" t="s">
        <v>459</v>
      </c>
      <c r="G336" s="1" t="s">
        <v>460</v>
      </c>
      <c r="H336" s="1" t="s">
        <v>461</v>
      </c>
      <c r="I336" s="1" t="s">
        <v>462</v>
      </c>
      <c r="J336" s="1" t="str">
        <f t="shared" si="1"/>
        <v>Non-Compliant</v>
      </c>
      <c r="K336" s="1" t="str">
        <f t="shared" si="2"/>
        <v>Non-Incentive</v>
      </c>
      <c r="L336" s="1" t="str">
        <f t="shared" si="3"/>
        <v>TUG</v>
      </c>
      <c r="M336" s="1">
        <f t="shared" si="4"/>
        <v>3</v>
      </c>
      <c r="N336" s="1">
        <f t="shared" si="5"/>
        <v>2017</v>
      </c>
    </row>
    <row r="337" ht="15.75" customHeight="1">
      <c r="A337" s="1" t="s">
        <v>14</v>
      </c>
      <c r="B337" s="1">
        <v>8239129.0</v>
      </c>
      <c r="C337" s="1" t="s">
        <v>448</v>
      </c>
      <c r="D337" s="1" t="s">
        <v>464</v>
      </c>
      <c r="E337" s="1" t="s">
        <v>358</v>
      </c>
      <c r="F337" s="1" t="s">
        <v>459</v>
      </c>
      <c r="G337" s="1" t="s">
        <v>460</v>
      </c>
      <c r="H337" s="1" t="s">
        <v>461</v>
      </c>
      <c r="I337" s="1" t="s">
        <v>462</v>
      </c>
      <c r="J337" s="1" t="str">
        <f t="shared" si="1"/>
        <v>Non-Compliant</v>
      </c>
      <c r="K337" s="1" t="str">
        <f t="shared" si="2"/>
        <v>Non-Incentive</v>
      </c>
      <c r="L337" s="1" t="str">
        <f t="shared" si="3"/>
        <v>TUG</v>
      </c>
      <c r="M337" s="1">
        <f t="shared" si="4"/>
        <v>3</v>
      </c>
      <c r="N337" s="1">
        <f t="shared" si="5"/>
        <v>2017</v>
      </c>
    </row>
    <row r="338" ht="15.75" customHeight="1">
      <c r="A338" s="1" t="s">
        <v>14</v>
      </c>
      <c r="B338" s="1">
        <v>8241970.0</v>
      </c>
      <c r="C338" s="1" t="s">
        <v>448</v>
      </c>
      <c r="D338" s="1" t="s">
        <v>465</v>
      </c>
      <c r="E338" s="1" t="s">
        <v>433</v>
      </c>
      <c r="F338" s="1" t="s">
        <v>466</v>
      </c>
      <c r="G338" s="1" t="s">
        <v>467</v>
      </c>
      <c r="H338" s="1" t="s">
        <v>468</v>
      </c>
      <c r="I338" s="1" t="s">
        <v>462</v>
      </c>
      <c r="J338" s="1" t="str">
        <f t="shared" si="1"/>
        <v>Non-Compliant</v>
      </c>
      <c r="K338" s="1" t="str">
        <f t="shared" si="2"/>
        <v>Non-Incentive</v>
      </c>
      <c r="L338" s="1" t="str">
        <f t="shared" si="3"/>
        <v>TUG</v>
      </c>
      <c r="M338" s="1">
        <f t="shared" si="4"/>
        <v>3</v>
      </c>
      <c r="N338" s="1">
        <f t="shared" si="5"/>
        <v>2017</v>
      </c>
    </row>
    <row r="339" ht="15.75" customHeight="1">
      <c r="A339" s="1" t="s">
        <v>14</v>
      </c>
      <c r="B339" s="1">
        <v>8241971.0</v>
      </c>
      <c r="C339" s="1" t="s">
        <v>448</v>
      </c>
      <c r="D339" s="1" t="s">
        <v>469</v>
      </c>
      <c r="E339" s="1" t="s">
        <v>433</v>
      </c>
      <c r="F339" s="1" t="s">
        <v>466</v>
      </c>
      <c r="G339" s="1" t="s">
        <v>467</v>
      </c>
      <c r="H339" s="1" t="s">
        <v>468</v>
      </c>
      <c r="I339" s="1" t="s">
        <v>462</v>
      </c>
      <c r="J339" s="1" t="str">
        <f t="shared" si="1"/>
        <v>Non-Compliant</v>
      </c>
      <c r="K339" s="1" t="str">
        <f t="shared" si="2"/>
        <v>Non-Incentive</v>
      </c>
      <c r="L339" s="1" t="str">
        <f t="shared" si="3"/>
        <v>TUG</v>
      </c>
      <c r="M339" s="1">
        <f t="shared" si="4"/>
        <v>3</v>
      </c>
      <c r="N339" s="1">
        <f t="shared" si="5"/>
        <v>2017</v>
      </c>
    </row>
    <row r="340" ht="15.75" customHeight="1">
      <c r="A340" s="1" t="s">
        <v>14</v>
      </c>
      <c r="B340" s="1">
        <v>8241978.0</v>
      </c>
      <c r="C340" s="1" t="s">
        <v>448</v>
      </c>
      <c r="D340" s="1" t="s">
        <v>470</v>
      </c>
      <c r="E340" s="1" t="s">
        <v>433</v>
      </c>
      <c r="F340" s="1" t="s">
        <v>466</v>
      </c>
      <c r="G340" s="1" t="s">
        <v>471</v>
      </c>
      <c r="H340" s="1" t="s">
        <v>472</v>
      </c>
      <c r="I340" s="1" t="s">
        <v>462</v>
      </c>
      <c r="J340" s="1" t="str">
        <f t="shared" si="1"/>
        <v>Non-Compliant</v>
      </c>
      <c r="K340" s="1" t="str">
        <f t="shared" si="2"/>
        <v>Non-Incentive</v>
      </c>
      <c r="L340" s="1" t="str">
        <f t="shared" si="3"/>
        <v>TUG</v>
      </c>
      <c r="M340" s="1">
        <f t="shared" si="4"/>
        <v>3</v>
      </c>
      <c r="N340" s="1">
        <f t="shared" si="5"/>
        <v>2017</v>
      </c>
    </row>
    <row r="341" ht="15.75" customHeight="1">
      <c r="A341" s="1" t="s">
        <v>14</v>
      </c>
      <c r="B341" s="1">
        <v>8288523.0</v>
      </c>
      <c r="C341" s="1" t="s">
        <v>485</v>
      </c>
      <c r="D341" s="1" t="s">
        <v>486</v>
      </c>
      <c r="E341" s="1" t="s">
        <v>479</v>
      </c>
      <c r="F341" s="1" t="s">
        <v>487</v>
      </c>
      <c r="G341" s="1" t="s">
        <v>488</v>
      </c>
      <c r="H341" s="1" t="s">
        <v>489</v>
      </c>
      <c r="I341" s="1" t="s">
        <v>462</v>
      </c>
      <c r="J341" s="1" t="str">
        <f t="shared" si="1"/>
        <v>Non-Compliant</v>
      </c>
      <c r="K341" s="1" t="str">
        <f t="shared" si="2"/>
        <v>Non-Incentive</v>
      </c>
      <c r="L341" s="1" t="str">
        <f t="shared" si="3"/>
        <v>TUG</v>
      </c>
      <c r="M341" s="1">
        <f t="shared" si="4"/>
        <v>3</v>
      </c>
      <c r="N341" s="1">
        <f t="shared" si="5"/>
        <v>2017</v>
      </c>
    </row>
    <row r="342" ht="15.75" customHeight="1">
      <c r="A342" s="1" t="s">
        <v>14</v>
      </c>
      <c r="B342" s="1">
        <v>8290768.0</v>
      </c>
      <c r="C342" s="1" t="s">
        <v>485</v>
      </c>
      <c r="D342" s="1" t="s">
        <v>490</v>
      </c>
      <c r="E342" s="1" t="s">
        <v>479</v>
      </c>
      <c r="F342" s="1" t="s">
        <v>491</v>
      </c>
      <c r="G342" s="1" t="s">
        <v>492</v>
      </c>
      <c r="H342" s="1" t="s">
        <v>493</v>
      </c>
      <c r="I342" s="1" t="s">
        <v>462</v>
      </c>
      <c r="J342" s="1" t="str">
        <f t="shared" si="1"/>
        <v>Non-Compliant</v>
      </c>
      <c r="K342" s="1" t="str">
        <f t="shared" si="2"/>
        <v>Non-Incentive</v>
      </c>
      <c r="L342" s="1" t="str">
        <f t="shared" si="3"/>
        <v>TUG</v>
      </c>
      <c r="M342" s="1">
        <f t="shared" si="4"/>
        <v>3</v>
      </c>
      <c r="N342" s="1">
        <f t="shared" si="5"/>
        <v>2017</v>
      </c>
    </row>
    <row r="343" ht="15.75" customHeight="1">
      <c r="A343" s="1" t="s">
        <v>14</v>
      </c>
      <c r="B343" s="1">
        <v>8290787.0</v>
      </c>
      <c r="C343" s="1" t="s">
        <v>485</v>
      </c>
      <c r="D343" s="1" t="s">
        <v>494</v>
      </c>
      <c r="E343" s="1" t="s">
        <v>479</v>
      </c>
      <c r="F343" s="1" t="s">
        <v>491</v>
      </c>
      <c r="G343" s="1" t="s">
        <v>492</v>
      </c>
      <c r="H343" s="1" t="s">
        <v>493</v>
      </c>
      <c r="I343" s="1" t="s">
        <v>462</v>
      </c>
      <c r="J343" s="1" t="str">
        <f t="shared" si="1"/>
        <v>Non-Compliant</v>
      </c>
      <c r="K343" s="1" t="str">
        <f t="shared" si="2"/>
        <v>Non-Incentive</v>
      </c>
      <c r="L343" s="1" t="str">
        <f t="shared" si="3"/>
        <v>TUG</v>
      </c>
      <c r="M343" s="1">
        <f t="shared" si="4"/>
        <v>3</v>
      </c>
      <c r="N343" s="1">
        <f t="shared" si="5"/>
        <v>2017</v>
      </c>
    </row>
    <row r="344" ht="15.75" customHeight="1">
      <c r="A344" s="1" t="s">
        <v>14</v>
      </c>
      <c r="B344" s="1">
        <v>7971432.0</v>
      </c>
      <c r="C344" s="1" t="s">
        <v>261</v>
      </c>
      <c r="D344" s="1" t="s">
        <v>286</v>
      </c>
      <c r="E344" s="1" t="s">
        <v>247</v>
      </c>
      <c r="F344" s="1" t="s">
        <v>287</v>
      </c>
      <c r="G344" s="1" t="s">
        <v>19</v>
      </c>
      <c r="H344" s="1" t="s">
        <v>288</v>
      </c>
      <c r="I344" s="1" t="s">
        <v>289</v>
      </c>
      <c r="J344" s="1" t="str">
        <f t="shared" si="1"/>
        <v>Non-Compliant</v>
      </c>
      <c r="K344" s="1" t="str">
        <f t="shared" si="2"/>
        <v>Non-Incentive</v>
      </c>
      <c r="L344" s="1" t="str">
        <f t="shared" si="3"/>
        <v>TUG</v>
      </c>
      <c r="M344" s="1">
        <f t="shared" si="4"/>
        <v>3</v>
      </c>
      <c r="N344" s="1">
        <f t="shared" si="5"/>
        <v>2017</v>
      </c>
    </row>
    <row r="345" ht="15.75" customHeight="1">
      <c r="A345" s="1" t="s">
        <v>14</v>
      </c>
      <c r="B345" s="1">
        <v>7812525.0</v>
      </c>
      <c r="C345" s="1" t="s">
        <v>187</v>
      </c>
      <c r="D345" s="1" t="s">
        <v>188</v>
      </c>
      <c r="E345" s="1" t="s">
        <v>189</v>
      </c>
      <c r="F345" s="1" t="s">
        <v>190</v>
      </c>
      <c r="G345" s="1" t="s">
        <v>19</v>
      </c>
      <c r="H345" s="1" t="s">
        <v>191</v>
      </c>
      <c r="I345" s="1" t="s">
        <v>192</v>
      </c>
      <c r="J345" s="1" t="str">
        <f t="shared" si="1"/>
        <v>Non-Compliant</v>
      </c>
      <c r="K345" s="1" t="str">
        <f t="shared" si="2"/>
        <v>Non-Incentive</v>
      </c>
      <c r="L345" s="1" t="str">
        <f t="shared" si="3"/>
        <v>TUG</v>
      </c>
      <c r="M345" s="1">
        <f t="shared" si="4"/>
        <v>3</v>
      </c>
      <c r="N345" s="1">
        <f t="shared" si="5"/>
        <v>2017</v>
      </c>
    </row>
    <row r="346" ht="15.75" customHeight="1">
      <c r="A346" s="1" t="s">
        <v>14</v>
      </c>
      <c r="B346" s="1">
        <v>7945866.0</v>
      </c>
      <c r="C346" s="1" t="s">
        <v>245</v>
      </c>
      <c r="D346" s="1" t="s">
        <v>258</v>
      </c>
      <c r="E346" s="1" t="s">
        <v>259</v>
      </c>
      <c r="F346" s="1" t="s">
        <v>190</v>
      </c>
      <c r="G346" s="1" t="s">
        <v>37</v>
      </c>
      <c r="H346" s="1" t="s">
        <v>260</v>
      </c>
      <c r="I346" s="1" t="s">
        <v>192</v>
      </c>
      <c r="J346" s="1" t="str">
        <f t="shared" si="1"/>
        <v>Non-Compliant</v>
      </c>
      <c r="K346" s="1" t="str">
        <f t="shared" si="2"/>
        <v>Non-Incentive</v>
      </c>
      <c r="L346" s="1" t="str">
        <f t="shared" si="3"/>
        <v>TUG</v>
      </c>
      <c r="M346" s="1">
        <f t="shared" si="4"/>
        <v>3</v>
      </c>
      <c r="N346" s="1">
        <f t="shared" si="5"/>
        <v>2017</v>
      </c>
    </row>
    <row r="347" ht="15.75" customHeight="1">
      <c r="A347" s="1" t="s">
        <v>14</v>
      </c>
      <c r="B347" s="1">
        <v>8439375.0</v>
      </c>
      <c r="C347" s="1" t="s">
        <v>571</v>
      </c>
      <c r="D347" s="1" t="s">
        <v>585</v>
      </c>
      <c r="E347" s="1" t="s">
        <v>534</v>
      </c>
      <c r="F347" s="1" t="s">
        <v>586</v>
      </c>
      <c r="G347" s="1" t="s">
        <v>587</v>
      </c>
      <c r="H347" s="1" t="s">
        <v>588</v>
      </c>
      <c r="I347" s="1" t="s">
        <v>589</v>
      </c>
      <c r="J347" s="1" t="str">
        <f t="shared" si="1"/>
        <v>Non-Compliant</v>
      </c>
      <c r="K347" s="1" t="str">
        <f t="shared" si="2"/>
        <v>Non-Incentive</v>
      </c>
      <c r="L347" s="1" t="str">
        <f t="shared" si="3"/>
        <v>TUG</v>
      </c>
      <c r="M347" s="1">
        <f t="shared" si="4"/>
        <v>3</v>
      </c>
      <c r="N347" s="1">
        <f t="shared" si="5"/>
        <v>2017</v>
      </c>
    </row>
    <row r="348" ht="15.75" customHeight="1">
      <c r="A348" s="1" t="s">
        <v>14</v>
      </c>
      <c r="B348" s="1">
        <v>8439383.0</v>
      </c>
      <c r="C348" s="1" t="s">
        <v>571</v>
      </c>
      <c r="D348" s="1" t="s">
        <v>590</v>
      </c>
      <c r="E348" s="1" t="s">
        <v>534</v>
      </c>
      <c r="F348" s="1" t="s">
        <v>591</v>
      </c>
      <c r="G348" s="1" t="s">
        <v>587</v>
      </c>
      <c r="H348" s="1" t="s">
        <v>588</v>
      </c>
      <c r="I348" s="1" t="s">
        <v>589</v>
      </c>
      <c r="J348" s="1" t="str">
        <f t="shared" si="1"/>
        <v>Non-Compliant</v>
      </c>
      <c r="K348" s="1" t="str">
        <f t="shared" si="2"/>
        <v>Non-Incentive</v>
      </c>
      <c r="L348" s="1" t="str">
        <f t="shared" si="3"/>
        <v>TUG</v>
      </c>
      <c r="M348" s="1">
        <f t="shared" si="4"/>
        <v>3</v>
      </c>
      <c r="N348" s="1">
        <f t="shared" si="5"/>
        <v>2017</v>
      </c>
    </row>
    <row r="349" ht="15.75" customHeight="1">
      <c r="A349" s="1" t="s">
        <v>14</v>
      </c>
      <c r="B349" s="1">
        <v>8439422.0</v>
      </c>
      <c r="C349" s="1" t="s">
        <v>571</v>
      </c>
      <c r="D349" s="1" t="s">
        <v>592</v>
      </c>
      <c r="E349" s="1" t="s">
        <v>529</v>
      </c>
      <c r="F349" s="1" t="s">
        <v>593</v>
      </c>
      <c r="G349" s="1" t="s">
        <v>594</v>
      </c>
      <c r="H349" s="1" t="s">
        <v>595</v>
      </c>
      <c r="I349" s="1" t="s">
        <v>589</v>
      </c>
      <c r="J349" s="1" t="str">
        <f t="shared" si="1"/>
        <v>Non-Compliant</v>
      </c>
      <c r="K349" s="1" t="str">
        <f t="shared" si="2"/>
        <v>Non-Incentive</v>
      </c>
      <c r="L349" s="1" t="str">
        <f t="shared" si="3"/>
        <v>TUG</v>
      </c>
      <c r="M349" s="1">
        <f t="shared" si="4"/>
        <v>3</v>
      </c>
      <c r="N349" s="1">
        <f t="shared" si="5"/>
        <v>2017</v>
      </c>
    </row>
    <row r="350" ht="15.75" customHeight="1">
      <c r="A350" s="1" t="s">
        <v>14</v>
      </c>
      <c r="B350" s="1">
        <v>8608392.0</v>
      </c>
      <c r="C350" s="1" t="s">
        <v>687</v>
      </c>
      <c r="D350" s="1" t="s">
        <v>708</v>
      </c>
      <c r="E350" s="1" t="s">
        <v>670</v>
      </c>
      <c r="F350" s="1" t="s">
        <v>709</v>
      </c>
      <c r="G350" s="1" t="s">
        <v>710</v>
      </c>
      <c r="H350" s="1" t="s">
        <v>711</v>
      </c>
      <c r="I350" s="1" t="s">
        <v>712</v>
      </c>
      <c r="J350" s="1" t="str">
        <f t="shared" si="1"/>
        <v>Non-Compliant</v>
      </c>
      <c r="K350" s="1" t="str">
        <f t="shared" si="2"/>
        <v>Non-Incentive</v>
      </c>
      <c r="L350" s="1" t="str">
        <f t="shared" si="3"/>
        <v>TUG</v>
      </c>
      <c r="M350" s="1">
        <f t="shared" si="4"/>
        <v>3</v>
      </c>
      <c r="N350" s="1">
        <f t="shared" si="5"/>
        <v>2017</v>
      </c>
    </row>
    <row r="351" ht="15.75" customHeight="1">
      <c r="A351" s="1" t="s">
        <v>14</v>
      </c>
      <c r="B351" s="1">
        <v>8608445.0</v>
      </c>
      <c r="C351" s="1" t="s">
        <v>687</v>
      </c>
      <c r="D351" s="1" t="s">
        <v>713</v>
      </c>
      <c r="E351" s="1" t="s">
        <v>670</v>
      </c>
      <c r="F351" s="1" t="s">
        <v>714</v>
      </c>
      <c r="G351" s="1" t="s">
        <v>715</v>
      </c>
      <c r="H351" s="1" t="s">
        <v>716</v>
      </c>
      <c r="I351" s="1" t="s">
        <v>712</v>
      </c>
      <c r="J351" s="1" t="str">
        <f t="shared" si="1"/>
        <v>Non-Compliant</v>
      </c>
      <c r="K351" s="1" t="str">
        <f t="shared" si="2"/>
        <v>Non-Incentive</v>
      </c>
      <c r="L351" s="1" t="str">
        <f t="shared" si="3"/>
        <v>TUG</v>
      </c>
      <c r="M351" s="1">
        <f t="shared" si="4"/>
        <v>3</v>
      </c>
      <c r="N351" s="1">
        <f t="shared" si="5"/>
        <v>2017</v>
      </c>
    </row>
    <row r="352" ht="15.75" customHeight="1">
      <c r="A352" s="1" t="s">
        <v>14</v>
      </c>
      <c r="B352" s="1">
        <v>8608455.0</v>
      </c>
      <c r="C352" s="1" t="s">
        <v>687</v>
      </c>
      <c r="D352" s="1" t="s">
        <v>717</v>
      </c>
      <c r="E352" s="1" t="s">
        <v>670</v>
      </c>
      <c r="F352" s="1" t="s">
        <v>709</v>
      </c>
      <c r="G352" s="1" t="s">
        <v>710</v>
      </c>
      <c r="H352" s="1" t="s">
        <v>711</v>
      </c>
      <c r="I352" s="1" t="s">
        <v>712</v>
      </c>
      <c r="J352" s="1" t="str">
        <f t="shared" si="1"/>
        <v>Non-Compliant</v>
      </c>
      <c r="K352" s="1" t="str">
        <f t="shared" si="2"/>
        <v>Non-Incentive</v>
      </c>
      <c r="L352" s="1" t="str">
        <f t="shared" si="3"/>
        <v>TUG</v>
      </c>
      <c r="M352" s="1">
        <f t="shared" si="4"/>
        <v>3</v>
      </c>
      <c r="N352" s="1">
        <f t="shared" si="5"/>
        <v>2017</v>
      </c>
    </row>
    <row r="353" ht="15.75" customHeight="1">
      <c r="A353" s="1" t="s">
        <v>14</v>
      </c>
      <c r="B353" s="1">
        <v>8608463.0</v>
      </c>
      <c r="C353" s="1" t="s">
        <v>687</v>
      </c>
      <c r="D353" s="1" t="s">
        <v>718</v>
      </c>
      <c r="E353" s="1" t="s">
        <v>670</v>
      </c>
      <c r="F353" s="1" t="s">
        <v>714</v>
      </c>
      <c r="G353" s="1" t="s">
        <v>715</v>
      </c>
      <c r="H353" s="1" t="s">
        <v>716</v>
      </c>
      <c r="I353" s="1" t="s">
        <v>712</v>
      </c>
      <c r="J353" s="1" t="str">
        <f t="shared" si="1"/>
        <v>Non-Compliant</v>
      </c>
      <c r="K353" s="1" t="str">
        <f t="shared" si="2"/>
        <v>Non-Incentive</v>
      </c>
      <c r="L353" s="1" t="str">
        <f t="shared" si="3"/>
        <v>TUG</v>
      </c>
      <c r="M353" s="1">
        <f t="shared" si="4"/>
        <v>3</v>
      </c>
      <c r="N353" s="1">
        <f t="shared" si="5"/>
        <v>2017</v>
      </c>
    </row>
    <row r="354" ht="15.75" customHeight="1">
      <c r="A354" s="1" t="s">
        <v>14</v>
      </c>
      <c r="B354" s="1">
        <v>8608521.0</v>
      </c>
      <c r="C354" s="1" t="s">
        <v>687</v>
      </c>
      <c r="D354" s="1" t="s">
        <v>719</v>
      </c>
      <c r="E354" s="1" t="s">
        <v>670</v>
      </c>
      <c r="F354" s="1" t="s">
        <v>714</v>
      </c>
      <c r="G354" s="1" t="s">
        <v>710</v>
      </c>
      <c r="H354" s="1" t="s">
        <v>711</v>
      </c>
      <c r="I354" s="1" t="s">
        <v>712</v>
      </c>
      <c r="J354" s="1" t="str">
        <f t="shared" si="1"/>
        <v>Non-Compliant</v>
      </c>
      <c r="K354" s="1" t="str">
        <f t="shared" si="2"/>
        <v>Non-Incentive</v>
      </c>
      <c r="L354" s="1" t="str">
        <f t="shared" si="3"/>
        <v>TUG</v>
      </c>
      <c r="M354" s="1">
        <f t="shared" si="4"/>
        <v>3</v>
      </c>
      <c r="N354" s="1">
        <f t="shared" si="5"/>
        <v>2017</v>
      </c>
    </row>
    <row r="355" ht="15.75" customHeight="1">
      <c r="A355" s="1" t="s">
        <v>14</v>
      </c>
      <c r="B355" s="1">
        <v>8247826.0</v>
      </c>
      <c r="C355" s="1" t="s">
        <v>473</v>
      </c>
      <c r="D355" s="1" t="s">
        <v>474</v>
      </c>
      <c r="E355" s="1" t="s">
        <v>433</v>
      </c>
      <c r="F355" s="1" t="s">
        <v>475</v>
      </c>
      <c r="G355" s="1" t="s">
        <v>19</v>
      </c>
      <c r="H355" s="1" t="s">
        <v>476</v>
      </c>
      <c r="I355" s="1" t="s">
        <v>477</v>
      </c>
      <c r="J355" s="1" t="str">
        <f t="shared" si="1"/>
        <v>Non-Compliant</v>
      </c>
      <c r="K355" s="1" t="str">
        <f t="shared" si="2"/>
        <v>Non-Incentive</v>
      </c>
      <c r="L355" s="1" t="str">
        <f t="shared" si="3"/>
        <v>TUG</v>
      </c>
      <c r="M355" s="1">
        <f t="shared" si="4"/>
        <v>3</v>
      </c>
      <c r="N355" s="1">
        <f t="shared" si="5"/>
        <v>2017</v>
      </c>
    </row>
    <row r="356" ht="15.75" customHeight="1">
      <c r="A356" s="1" t="s">
        <v>14</v>
      </c>
      <c r="B356" s="1">
        <v>8220992.0</v>
      </c>
      <c r="C356" s="1" t="s">
        <v>415</v>
      </c>
      <c r="D356" s="1" t="s">
        <v>432</v>
      </c>
      <c r="E356" s="1" t="s">
        <v>433</v>
      </c>
      <c r="F356" s="1" t="s">
        <v>434</v>
      </c>
      <c r="G356" s="1" t="s">
        <v>19</v>
      </c>
      <c r="H356" s="1" t="s">
        <v>435</v>
      </c>
      <c r="I356" s="1" t="s">
        <v>436</v>
      </c>
      <c r="J356" s="1" t="str">
        <f t="shared" si="1"/>
        <v>Non-Compliant</v>
      </c>
      <c r="K356" s="1" t="str">
        <f t="shared" si="2"/>
        <v>Non-Incentive</v>
      </c>
      <c r="L356" s="1" t="str">
        <f t="shared" si="3"/>
        <v>TUG</v>
      </c>
      <c r="M356" s="1">
        <f t="shared" si="4"/>
        <v>3</v>
      </c>
      <c r="N356" s="1">
        <f t="shared" si="5"/>
        <v>2017</v>
      </c>
    </row>
    <row r="357" ht="15.75" customHeight="1">
      <c r="A357" s="1" t="s">
        <v>14</v>
      </c>
      <c r="B357" s="1">
        <v>8338701.0</v>
      </c>
      <c r="C357" s="1" t="s">
        <v>504</v>
      </c>
      <c r="D357" s="1" t="s">
        <v>519</v>
      </c>
      <c r="E357" s="1" t="s">
        <v>388</v>
      </c>
      <c r="F357" s="1" t="s">
        <v>520</v>
      </c>
      <c r="G357" s="1" t="s">
        <v>19</v>
      </c>
      <c r="H357" s="1" t="s">
        <v>521</v>
      </c>
      <c r="I357" s="1" t="s">
        <v>522</v>
      </c>
      <c r="J357" s="1" t="str">
        <f t="shared" si="1"/>
        <v>Non-Compliant</v>
      </c>
      <c r="K357" s="1" t="str">
        <f t="shared" si="2"/>
        <v>Non-Incentive</v>
      </c>
      <c r="L357" s="1" t="str">
        <f t="shared" si="3"/>
        <v>TUG</v>
      </c>
      <c r="M357" s="1">
        <f t="shared" si="4"/>
        <v>3</v>
      </c>
      <c r="N357" s="1">
        <f t="shared" si="5"/>
        <v>2017</v>
      </c>
    </row>
    <row r="358" ht="15.75" customHeight="1">
      <c r="A358" s="1" t="s">
        <v>14</v>
      </c>
      <c r="B358" s="1">
        <v>8338839.0</v>
      </c>
      <c r="C358" s="1" t="s">
        <v>504</v>
      </c>
      <c r="D358" s="1" t="s">
        <v>528</v>
      </c>
      <c r="E358" s="1" t="s">
        <v>529</v>
      </c>
      <c r="F358" s="1" t="s">
        <v>530</v>
      </c>
      <c r="G358" s="1" t="s">
        <v>19</v>
      </c>
      <c r="H358" s="1" t="s">
        <v>531</v>
      </c>
      <c r="I358" s="1" t="s">
        <v>532</v>
      </c>
      <c r="J358" s="1" t="str">
        <f t="shared" si="1"/>
        <v>Non-Compliant</v>
      </c>
      <c r="K358" s="1" t="str">
        <f t="shared" si="2"/>
        <v>Non-Incentive</v>
      </c>
      <c r="L358" s="1" t="str">
        <f t="shared" si="3"/>
        <v>TUG</v>
      </c>
      <c r="M358" s="1">
        <f t="shared" si="4"/>
        <v>3</v>
      </c>
      <c r="N358" s="1">
        <f t="shared" si="5"/>
        <v>2017</v>
      </c>
    </row>
    <row r="359" ht="15.75" customHeight="1">
      <c r="A359" s="1" t="s">
        <v>14</v>
      </c>
      <c r="B359" s="1">
        <v>9246037.0</v>
      </c>
      <c r="C359" s="1" t="s">
        <v>1014</v>
      </c>
      <c r="D359" s="1" t="s">
        <v>1019</v>
      </c>
      <c r="E359" s="1" t="s">
        <v>1020</v>
      </c>
      <c r="F359" s="1" t="s">
        <v>1021</v>
      </c>
      <c r="G359" s="1" t="s">
        <v>19</v>
      </c>
      <c r="H359" s="1" t="s">
        <v>1022</v>
      </c>
      <c r="I359" s="1" t="s">
        <v>1023</v>
      </c>
      <c r="J359" s="1" t="str">
        <f t="shared" si="1"/>
        <v>Non-Compliant</v>
      </c>
      <c r="K359" s="1" t="str">
        <f t="shared" si="2"/>
        <v>Non-Incentive</v>
      </c>
      <c r="L359" s="1" t="str">
        <f t="shared" si="3"/>
        <v>TUG</v>
      </c>
      <c r="M359" s="1">
        <f t="shared" si="4"/>
        <v>3</v>
      </c>
      <c r="N359" s="1">
        <f t="shared" si="5"/>
        <v>2017</v>
      </c>
    </row>
    <row r="360" ht="15.75" customHeight="1">
      <c r="A360" s="1" t="s">
        <v>14</v>
      </c>
      <c r="B360" s="1">
        <v>9802291.0</v>
      </c>
      <c r="C360" s="1" t="s">
        <v>1194</v>
      </c>
      <c r="D360" s="1" t="s">
        <v>1204</v>
      </c>
      <c r="E360" s="1" t="s">
        <v>1190</v>
      </c>
      <c r="F360" s="1" t="s">
        <v>1205</v>
      </c>
      <c r="G360" s="1" t="s">
        <v>19</v>
      </c>
      <c r="H360" s="1" t="s">
        <v>1206</v>
      </c>
      <c r="I360" s="1" t="s">
        <v>1207</v>
      </c>
      <c r="J360" s="1" t="str">
        <f t="shared" si="1"/>
        <v>Non-Compliant</v>
      </c>
      <c r="K360" s="1" t="str">
        <f t="shared" si="2"/>
        <v>Non-Incentive</v>
      </c>
      <c r="L360" s="1" t="str">
        <f t="shared" si="3"/>
        <v>TUG</v>
      </c>
      <c r="M360" s="1">
        <f t="shared" si="4"/>
        <v>3</v>
      </c>
      <c r="N360" s="1">
        <f t="shared" si="5"/>
        <v>2017</v>
      </c>
    </row>
    <row r="361" ht="15.75" customHeight="1">
      <c r="A361" s="1" t="s">
        <v>14</v>
      </c>
      <c r="B361" s="1">
        <v>1046425.0</v>
      </c>
      <c r="C361" s="1" t="s">
        <v>1240</v>
      </c>
      <c r="D361" s="1" t="s">
        <v>1251</v>
      </c>
      <c r="E361" s="1" t="s">
        <v>1252</v>
      </c>
      <c r="F361" s="1" t="s">
        <v>1253</v>
      </c>
      <c r="G361" s="1" t="s">
        <v>1254</v>
      </c>
      <c r="H361" s="1" t="s">
        <v>1255</v>
      </c>
      <c r="I361" s="1" t="s">
        <v>1256</v>
      </c>
      <c r="J361" s="1" t="str">
        <f t="shared" si="1"/>
        <v>Non-Compliant</v>
      </c>
      <c r="K361" s="1" t="str">
        <f t="shared" si="2"/>
        <v>Non-Incentive</v>
      </c>
      <c r="L361" s="1" t="str">
        <f t="shared" si="3"/>
        <v>TUG</v>
      </c>
      <c r="M361" s="1">
        <f t="shared" si="4"/>
        <v>3</v>
      </c>
      <c r="N361" s="1">
        <f t="shared" si="5"/>
        <v>2017</v>
      </c>
    </row>
    <row r="362" ht="15.75" customHeight="1">
      <c r="A362" s="1" t="s">
        <v>14</v>
      </c>
      <c r="B362" s="1">
        <v>9522381.0</v>
      </c>
      <c r="C362" s="1" t="s">
        <v>1078</v>
      </c>
      <c r="D362" s="1" t="s">
        <v>1079</v>
      </c>
      <c r="E362" s="1" t="s">
        <v>1080</v>
      </c>
      <c r="F362" s="1" t="s">
        <v>1081</v>
      </c>
      <c r="G362" s="1" t="s">
        <v>37</v>
      </c>
      <c r="H362" s="1" t="s">
        <v>1082</v>
      </c>
      <c r="I362" s="1" t="s">
        <v>1083</v>
      </c>
      <c r="J362" s="1" t="str">
        <f t="shared" si="1"/>
        <v>Non-Compliant</v>
      </c>
      <c r="K362" s="1" t="str">
        <f t="shared" si="2"/>
        <v>Non-Incentive</v>
      </c>
      <c r="L362" s="1" t="str">
        <f t="shared" si="3"/>
        <v>TUG</v>
      </c>
      <c r="M362" s="1">
        <f t="shared" si="4"/>
        <v>3</v>
      </c>
      <c r="N362" s="1">
        <f t="shared" si="5"/>
        <v>2017</v>
      </c>
    </row>
    <row r="363" ht="15.75" customHeight="1">
      <c r="A363" s="1" t="s">
        <v>14</v>
      </c>
      <c r="B363" s="1">
        <v>1247813.0</v>
      </c>
      <c r="C363" s="1" t="s">
        <v>1342</v>
      </c>
      <c r="D363" s="1" t="s">
        <v>1348</v>
      </c>
      <c r="E363" s="1" t="s">
        <v>1349</v>
      </c>
      <c r="F363" s="1" t="s">
        <v>1350</v>
      </c>
      <c r="G363" s="1" t="s">
        <v>19</v>
      </c>
      <c r="H363" s="1" t="s">
        <v>1351</v>
      </c>
      <c r="I363" s="1" t="s">
        <v>1352</v>
      </c>
      <c r="J363" s="1" t="str">
        <f t="shared" si="1"/>
        <v>Non-Compliant</v>
      </c>
      <c r="K363" s="1" t="str">
        <f t="shared" si="2"/>
        <v>Non-Incentive</v>
      </c>
      <c r="L363" s="1" t="str">
        <f t="shared" si="3"/>
        <v>TUG</v>
      </c>
      <c r="M363" s="1">
        <f t="shared" si="4"/>
        <v>3</v>
      </c>
      <c r="N363" s="1">
        <f t="shared" si="5"/>
        <v>2017</v>
      </c>
    </row>
    <row r="364" ht="15.75" customHeight="1">
      <c r="A364" s="1" t="s">
        <v>14</v>
      </c>
      <c r="B364" s="1">
        <v>1269121.0</v>
      </c>
      <c r="C364" s="1" t="s">
        <v>1379</v>
      </c>
      <c r="D364" s="1" t="s">
        <v>1380</v>
      </c>
      <c r="E364" s="1" t="s">
        <v>1370</v>
      </c>
      <c r="F364" s="1" t="s">
        <v>1381</v>
      </c>
      <c r="G364" s="1" t="s">
        <v>19</v>
      </c>
      <c r="H364" s="1" t="s">
        <v>1382</v>
      </c>
      <c r="I364" s="1" t="s">
        <v>1383</v>
      </c>
      <c r="J364" s="1" t="str">
        <f t="shared" si="1"/>
        <v>Non-Compliant</v>
      </c>
      <c r="K364" s="1" t="str">
        <f t="shared" si="2"/>
        <v>Non-Incentive</v>
      </c>
      <c r="L364" s="1" t="str">
        <f t="shared" si="3"/>
        <v>TUG</v>
      </c>
      <c r="M364" s="1">
        <f t="shared" si="4"/>
        <v>3</v>
      </c>
      <c r="N364" s="1">
        <f t="shared" si="5"/>
        <v>2017</v>
      </c>
    </row>
    <row r="365" ht="15.75" customHeight="1">
      <c r="A365" s="1" t="s">
        <v>14</v>
      </c>
      <c r="B365" s="1">
        <v>1381867.0</v>
      </c>
      <c r="C365" s="1" t="s">
        <v>1442</v>
      </c>
      <c r="D365" s="1" t="s">
        <v>1453</v>
      </c>
      <c r="E365" s="1" t="s">
        <v>1395</v>
      </c>
      <c r="F365" s="1" t="s">
        <v>1454</v>
      </c>
      <c r="G365" s="1" t="s">
        <v>37</v>
      </c>
      <c r="H365" s="1" t="s">
        <v>1455</v>
      </c>
      <c r="I365" s="1" t="s">
        <v>1383</v>
      </c>
      <c r="J365" s="1" t="str">
        <f t="shared" si="1"/>
        <v>Non-Compliant</v>
      </c>
      <c r="K365" s="1" t="str">
        <f t="shared" si="2"/>
        <v>Non-Incentive</v>
      </c>
      <c r="L365" s="1" t="str">
        <f t="shared" si="3"/>
        <v>TUG</v>
      </c>
      <c r="M365" s="1">
        <f t="shared" si="4"/>
        <v>3</v>
      </c>
      <c r="N365" s="1">
        <f t="shared" si="5"/>
        <v>2017</v>
      </c>
    </row>
    <row r="366" ht="15.75" customHeight="1">
      <c r="A366" s="1" t="s">
        <v>14</v>
      </c>
      <c r="B366" s="1">
        <v>1471253.0</v>
      </c>
      <c r="C366" s="1" t="s">
        <v>1465</v>
      </c>
      <c r="D366" s="1" t="s">
        <v>1481</v>
      </c>
      <c r="E366" s="1" t="s">
        <v>1482</v>
      </c>
      <c r="F366" s="1" t="s">
        <v>1483</v>
      </c>
      <c r="G366" s="1" t="s">
        <v>37</v>
      </c>
      <c r="H366" s="1" t="s">
        <v>1484</v>
      </c>
      <c r="I366" s="1" t="s">
        <v>1485</v>
      </c>
      <c r="J366" s="1" t="str">
        <f t="shared" si="1"/>
        <v>Non-Compliant</v>
      </c>
      <c r="K366" s="1" t="str">
        <f t="shared" si="2"/>
        <v>Non-Incentive</v>
      </c>
      <c r="L366" s="1" t="str">
        <f t="shared" si="3"/>
        <v>TUG</v>
      </c>
      <c r="M366" s="1">
        <f t="shared" si="4"/>
        <v>3</v>
      </c>
      <c r="N366" s="1">
        <f t="shared" si="5"/>
        <v>2017</v>
      </c>
    </row>
    <row r="367" ht="15.75" customHeight="1">
      <c r="A367" s="1" t="s">
        <v>14</v>
      </c>
      <c r="B367" s="1">
        <v>1386534.0</v>
      </c>
      <c r="C367" s="1" t="s">
        <v>1456</v>
      </c>
      <c r="D367" s="1" t="s">
        <v>1457</v>
      </c>
      <c r="E367" s="1" t="s">
        <v>1444</v>
      </c>
      <c r="F367" s="1" t="s">
        <v>1458</v>
      </c>
      <c r="G367" s="1" t="s">
        <v>37</v>
      </c>
      <c r="H367" s="1" t="s">
        <v>1459</v>
      </c>
      <c r="I367" s="1" t="s">
        <v>1460</v>
      </c>
      <c r="J367" s="1" t="str">
        <f t="shared" si="1"/>
        <v>Non-Compliant</v>
      </c>
      <c r="K367" s="1" t="str">
        <f t="shared" si="2"/>
        <v>Non-Incentive</v>
      </c>
      <c r="L367" s="1" t="str">
        <f t="shared" si="3"/>
        <v>TUG</v>
      </c>
      <c r="M367" s="1">
        <f t="shared" si="4"/>
        <v>3</v>
      </c>
      <c r="N367" s="1">
        <f t="shared" si="5"/>
        <v>2017</v>
      </c>
    </row>
    <row r="368" ht="15.75" customHeight="1">
      <c r="A368" s="1" t="s">
        <v>14</v>
      </c>
      <c r="B368" s="1">
        <v>1411047.0</v>
      </c>
      <c r="C368" s="1" t="s">
        <v>1456</v>
      </c>
      <c r="D368" s="1" t="s">
        <v>1461</v>
      </c>
      <c r="E368" s="1" t="s">
        <v>1462</v>
      </c>
      <c r="F368" s="1" t="s">
        <v>1463</v>
      </c>
      <c r="G368" s="1" t="s">
        <v>37</v>
      </c>
      <c r="H368" s="1" t="s">
        <v>1464</v>
      </c>
      <c r="I368" s="1" t="s">
        <v>1460</v>
      </c>
      <c r="J368" s="1" t="str">
        <f t="shared" si="1"/>
        <v>Non-Compliant</v>
      </c>
      <c r="K368" s="1" t="str">
        <f t="shared" si="2"/>
        <v>Non-Incentive</v>
      </c>
      <c r="L368" s="1" t="str">
        <f t="shared" si="3"/>
        <v>TUG</v>
      </c>
      <c r="M368" s="1">
        <f t="shared" si="4"/>
        <v>3</v>
      </c>
      <c r="N368" s="1">
        <f t="shared" si="5"/>
        <v>2017</v>
      </c>
    </row>
    <row r="369" ht="15.75" customHeight="1">
      <c r="A369" s="1" t="s">
        <v>14</v>
      </c>
      <c r="B369" s="1">
        <v>1486982.0</v>
      </c>
      <c r="C369" s="1" t="s">
        <v>1491</v>
      </c>
      <c r="D369" s="1" t="s">
        <v>1492</v>
      </c>
      <c r="E369" s="1" t="s">
        <v>1493</v>
      </c>
      <c r="F369" s="1" t="s">
        <v>1494</v>
      </c>
      <c r="G369" s="1" t="s">
        <v>37</v>
      </c>
      <c r="H369" s="1" t="s">
        <v>1495</v>
      </c>
      <c r="I369" s="1" t="s">
        <v>1496</v>
      </c>
      <c r="J369" s="1" t="str">
        <f t="shared" si="1"/>
        <v>Non-Compliant</v>
      </c>
      <c r="K369" s="1" t="str">
        <f t="shared" si="2"/>
        <v>Non-Incentive</v>
      </c>
      <c r="L369" s="1" t="str">
        <f t="shared" si="3"/>
        <v>TUG</v>
      </c>
      <c r="M369" s="1">
        <f t="shared" si="4"/>
        <v>3</v>
      </c>
      <c r="N369" s="1">
        <f t="shared" si="5"/>
        <v>2017</v>
      </c>
    </row>
    <row r="370" ht="15.75" customHeight="1">
      <c r="A370" s="1" t="s">
        <v>14</v>
      </c>
      <c r="B370" s="1">
        <v>1547350.0</v>
      </c>
      <c r="C370" s="1" t="s">
        <v>1522</v>
      </c>
      <c r="D370" s="1" t="s">
        <v>1526</v>
      </c>
      <c r="E370" s="1" t="s">
        <v>1527</v>
      </c>
      <c r="F370" s="1" t="s">
        <v>1528</v>
      </c>
      <c r="G370" s="1" t="s">
        <v>37</v>
      </c>
      <c r="H370" s="1" t="s">
        <v>1529</v>
      </c>
      <c r="I370" s="1" t="s">
        <v>1496</v>
      </c>
      <c r="J370" s="1" t="str">
        <f t="shared" si="1"/>
        <v>Non-Compliant</v>
      </c>
      <c r="K370" s="1" t="str">
        <f t="shared" si="2"/>
        <v>Non-Incentive</v>
      </c>
      <c r="L370" s="1" t="str">
        <f t="shared" si="3"/>
        <v>TUG</v>
      </c>
      <c r="M370" s="1">
        <f t="shared" si="4"/>
        <v>3</v>
      </c>
      <c r="N370" s="1">
        <f t="shared" si="5"/>
        <v>2017</v>
      </c>
    </row>
    <row r="371" ht="15.75" customHeight="1">
      <c r="A371" s="1" t="s">
        <v>14</v>
      </c>
      <c r="B371" s="1">
        <v>1609603.0</v>
      </c>
      <c r="C371" s="1" t="s">
        <v>1553</v>
      </c>
      <c r="D371" s="1" t="s">
        <v>1554</v>
      </c>
      <c r="E371" s="1" t="s">
        <v>1555</v>
      </c>
      <c r="F371" s="1" t="s">
        <v>1556</v>
      </c>
      <c r="G371" s="1" t="s">
        <v>37</v>
      </c>
      <c r="H371" s="1" t="s">
        <v>1557</v>
      </c>
      <c r="I371" s="1" t="s">
        <v>1496</v>
      </c>
      <c r="J371" s="1" t="str">
        <f t="shared" si="1"/>
        <v>Non-Compliant</v>
      </c>
      <c r="K371" s="1" t="str">
        <f t="shared" si="2"/>
        <v>Non-Incentive</v>
      </c>
      <c r="L371" s="1" t="str">
        <f t="shared" si="3"/>
        <v>TUG</v>
      </c>
      <c r="M371" s="1">
        <f t="shared" si="4"/>
        <v>3</v>
      </c>
      <c r="N371" s="1">
        <f t="shared" si="5"/>
        <v>2017</v>
      </c>
    </row>
    <row r="372" ht="15.75" customHeight="1">
      <c r="A372" s="1" t="s">
        <v>14</v>
      </c>
      <c r="B372" s="1">
        <v>1668810.0</v>
      </c>
      <c r="C372" s="1" t="s">
        <v>1585</v>
      </c>
      <c r="D372" s="1" t="s">
        <v>1586</v>
      </c>
      <c r="E372" s="1" t="s">
        <v>1587</v>
      </c>
      <c r="F372" s="1" t="s">
        <v>1588</v>
      </c>
      <c r="G372" s="1" t="s">
        <v>37</v>
      </c>
      <c r="H372" s="1" t="s">
        <v>1589</v>
      </c>
      <c r="I372" s="1" t="s">
        <v>1496</v>
      </c>
      <c r="J372" s="1" t="str">
        <f t="shared" si="1"/>
        <v>Non-Compliant</v>
      </c>
      <c r="K372" s="1" t="str">
        <f t="shared" si="2"/>
        <v>Non-Incentive</v>
      </c>
      <c r="L372" s="1" t="str">
        <f t="shared" si="3"/>
        <v>TUG</v>
      </c>
      <c r="M372" s="1">
        <f t="shared" si="4"/>
        <v>3</v>
      </c>
      <c r="N372" s="1">
        <f t="shared" si="5"/>
        <v>2017</v>
      </c>
    </row>
    <row r="373" ht="15.75" customHeight="1">
      <c r="A373" s="1" t="s">
        <v>14</v>
      </c>
      <c r="B373" s="1">
        <v>1696466.0</v>
      </c>
      <c r="C373" s="1" t="s">
        <v>1607</v>
      </c>
      <c r="D373" s="1" t="s">
        <v>1612</v>
      </c>
      <c r="E373" s="1" t="s">
        <v>1613</v>
      </c>
      <c r="F373" s="1" t="s">
        <v>1614</v>
      </c>
      <c r="G373" s="1" t="s">
        <v>37</v>
      </c>
      <c r="H373" s="1" t="s">
        <v>1615</v>
      </c>
      <c r="I373" s="1" t="s">
        <v>1496</v>
      </c>
      <c r="J373" s="1" t="str">
        <f t="shared" si="1"/>
        <v>Non-Compliant</v>
      </c>
      <c r="K373" s="1" t="str">
        <f t="shared" si="2"/>
        <v>Non-Incentive</v>
      </c>
      <c r="L373" s="1" t="str">
        <f t="shared" si="3"/>
        <v>TUG</v>
      </c>
      <c r="M373" s="1">
        <f t="shared" si="4"/>
        <v>3</v>
      </c>
      <c r="N373" s="1">
        <f t="shared" si="5"/>
        <v>2017</v>
      </c>
    </row>
    <row r="374" ht="15.75" customHeight="1">
      <c r="A374" s="1" t="s">
        <v>14</v>
      </c>
      <c r="B374" s="1">
        <v>1865329.0</v>
      </c>
      <c r="C374" s="1" t="s">
        <v>1693</v>
      </c>
      <c r="D374" s="1" t="s">
        <v>1697</v>
      </c>
      <c r="E374" s="1" t="s">
        <v>1698</v>
      </c>
      <c r="F374" s="1" t="s">
        <v>1699</v>
      </c>
      <c r="G374" s="1" t="s">
        <v>37</v>
      </c>
      <c r="H374" s="1" t="s">
        <v>1700</v>
      </c>
      <c r="I374" s="1" t="s">
        <v>1701</v>
      </c>
      <c r="J374" s="1" t="str">
        <f t="shared" si="1"/>
        <v>Non-Compliant</v>
      </c>
      <c r="K374" s="1" t="str">
        <f t="shared" si="2"/>
        <v>Non-Incentive</v>
      </c>
      <c r="L374" s="1" t="str">
        <f t="shared" si="3"/>
        <v>TUG</v>
      </c>
      <c r="M374" s="1">
        <f t="shared" si="4"/>
        <v>3</v>
      </c>
      <c r="N374" s="1">
        <f t="shared" si="5"/>
        <v>2017</v>
      </c>
    </row>
    <row r="375" ht="15.75" customHeight="1">
      <c r="A375" s="1" t="s">
        <v>14</v>
      </c>
      <c r="B375" s="1">
        <v>7909008.0</v>
      </c>
      <c r="C375" s="1" t="s">
        <v>227</v>
      </c>
      <c r="D375" s="1" t="s">
        <v>238</v>
      </c>
      <c r="E375" s="1" t="s">
        <v>239</v>
      </c>
      <c r="F375" s="1" t="s">
        <v>240</v>
      </c>
      <c r="G375" s="1" t="s">
        <v>19</v>
      </c>
      <c r="H375" s="1" t="s">
        <v>241</v>
      </c>
      <c r="I375" s="1" t="s">
        <v>242</v>
      </c>
      <c r="J375" s="1" t="str">
        <f t="shared" si="1"/>
        <v>Non-Compliant</v>
      </c>
      <c r="K375" s="1" t="str">
        <f t="shared" si="2"/>
        <v>Non-Incentive</v>
      </c>
      <c r="L375" s="1" t="str">
        <f t="shared" si="3"/>
        <v>TUG</v>
      </c>
      <c r="M375" s="1">
        <f t="shared" si="4"/>
        <v>3</v>
      </c>
      <c r="N375" s="1">
        <f t="shared" si="5"/>
        <v>2017</v>
      </c>
    </row>
    <row r="376" ht="15.75" customHeight="1">
      <c r="A376" s="1" t="s">
        <v>14</v>
      </c>
      <c r="B376" s="1">
        <v>1064566.0</v>
      </c>
      <c r="C376" s="1" t="s">
        <v>1257</v>
      </c>
      <c r="D376" s="1" t="s">
        <v>1268</v>
      </c>
      <c r="E376" s="1" t="s">
        <v>1269</v>
      </c>
      <c r="F376" s="1" t="s">
        <v>1270</v>
      </c>
      <c r="G376" s="1" t="s">
        <v>1271</v>
      </c>
      <c r="H376" s="1" t="s">
        <v>1272</v>
      </c>
      <c r="I376" s="1" t="s">
        <v>111</v>
      </c>
      <c r="J376" s="1" t="str">
        <f t="shared" si="1"/>
        <v>Non-Compliant</v>
      </c>
      <c r="K376" s="1" t="str">
        <f t="shared" si="2"/>
        <v>Non-Incentive</v>
      </c>
      <c r="L376" s="1" t="str">
        <f t="shared" si="3"/>
        <v>TUG</v>
      </c>
      <c r="M376" s="1">
        <f t="shared" si="4"/>
        <v>3</v>
      </c>
      <c r="N376" s="1">
        <f t="shared" si="5"/>
        <v>2017</v>
      </c>
    </row>
    <row r="377" ht="15.75" customHeight="1">
      <c r="A377" s="1" t="s">
        <v>14</v>
      </c>
      <c r="B377" s="1">
        <v>1509191.0</v>
      </c>
      <c r="C377" s="1" t="s">
        <v>1505</v>
      </c>
      <c r="D377" s="1" t="s">
        <v>1506</v>
      </c>
      <c r="E377" s="1" t="s">
        <v>1507</v>
      </c>
      <c r="F377" s="1" t="s">
        <v>1508</v>
      </c>
      <c r="G377" s="1" t="s">
        <v>19</v>
      </c>
      <c r="H377" s="1" t="s">
        <v>1509</v>
      </c>
      <c r="I377" s="1" t="s">
        <v>111</v>
      </c>
      <c r="J377" s="1" t="str">
        <f t="shared" si="1"/>
        <v>Non-Compliant</v>
      </c>
      <c r="K377" s="1" t="str">
        <f t="shared" si="2"/>
        <v>Non-Incentive</v>
      </c>
      <c r="L377" s="1" t="str">
        <f t="shared" si="3"/>
        <v>TUG</v>
      </c>
      <c r="M377" s="1">
        <f t="shared" si="4"/>
        <v>3</v>
      </c>
      <c r="N377" s="1">
        <f t="shared" si="5"/>
        <v>2017</v>
      </c>
    </row>
    <row r="378" ht="15.75" customHeight="1">
      <c r="A378" s="1" t="s">
        <v>14</v>
      </c>
      <c r="B378" s="1">
        <v>1566061.0</v>
      </c>
      <c r="C378" s="1" t="s">
        <v>1534</v>
      </c>
      <c r="D378" s="1" t="s">
        <v>1535</v>
      </c>
      <c r="E378" s="1" t="s">
        <v>1536</v>
      </c>
      <c r="F378" s="1" t="s">
        <v>1537</v>
      </c>
      <c r="G378" s="1" t="s">
        <v>37</v>
      </c>
      <c r="H378" s="1" t="s">
        <v>1538</v>
      </c>
      <c r="I378" s="1" t="s">
        <v>111</v>
      </c>
      <c r="J378" s="1" t="str">
        <f t="shared" si="1"/>
        <v>Non-Compliant</v>
      </c>
      <c r="K378" s="1" t="str">
        <f t="shared" si="2"/>
        <v>Non-Incentive</v>
      </c>
      <c r="L378" s="1" t="str">
        <f t="shared" si="3"/>
        <v>TUG</v>
      </c>
      <c r="M378" s="1">
        <f t="shared" si="4"/>
        <v>3</v>
      </c>
      <c r="N378" s="1">
        <f t="shared" si="5"/>
        <v>2017</v>
      </c>
    </row>
    <row r="379" ht="15.75" customHeight="1">
      <c r="A379" s="1" t="s">
        <v>14</v>
      </c>
      <c r="B379" s="1">
        <v>7721241.0</v>
      </c>
      <c r="C379" s="1" t="s">
        <v>93</v>
      </c>
      <c r="D379" s="1" t="s">
        <v>107</v>
      </c>
      <c r="E379" s="1" t="s">
        <v>108</v>
      </c>
      <c r="F379" s="1" t="s">
        <v>109</v>
      </c>
      <c r="G379" s="1" t="s">
        <v>19</v>
      </c>
      <c r="H379" s="1" t="s">
        <v>110</v>
      </c>
      <c r="I379" s="1" t="s">
        <v>111</v>
      </c>
      <c r="J379" s="1" t="str">
        <f t="shared" si="1"/>
        <v>Non-Compliant</v>
      </c>
      <c r="K379" s="1" t="str">
        <f t="shared" si="2"/>
        <v>Non-Incentive</v>
      </c>
      <c r="L379" s="1" t="str">
        <f t="shared" si="3"/>
        <v>TUG</v>
      </c>
      <c r="M379" s="1">
        <f t="shared" si="4"/>
        <v>3</v>
      </c>
      <c r="N379" s="1">
        <f t="shared" si="5"/>
        <v>2017</v>
      </c>
    </row>
    <row r="380" ht="15.75" customHeight="1">
      <c r="A380" s="1" t="s">
        <v>14</v>
      </c>
      <c r="B380" s="1">
        <v>8784077.0</v>
      </c>
      <c r="C380" s="1" t="s">
        <v>790</v>
      </c>
      <c r="D380" s="1" t="s">
        <v>800</v>
      </c>
      <c r="E380" s="1" t="s">
        <v>801</v>
      </c>
      <c r="F380" s="1" t="s">
        <v>802</v>
      </c>
      <c r="G380" s="1" t="s">
        <v>19</v>
      </c>
      <c r="H380" s="1" t="s">
        <v>803</v>
      </c>
      <c r="I380" s="1" t="s">
        <v>111</v>
      </c>
      <c r="J380" s="1" t="str">
        <f t="shared" si="1"/>
        <v>Non-Compliant</v>
      </c>
      <c r="K380" s="1" t="str">
        <f t="shared" si="2"/>
        <v>Non-Incentive</v>
      </c>
      <c r="L380" s="1" t="str">
        <f t="shared" si="3"/>
        <v>TUG</v>
      </c>
      <c r="M380" s="1">
        <f t="shared" si="4"/>
        <v>3</v>
      </c>
      <c r="N380" s="1">
        <f t="shared" si="5"/>
        <v>2017</v>
      </c>
    </row>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2" width="8.75"/>
    <col customWidth="1" min="3" max="3" width="11.13"/>
    <col customWidth="1" min="4" max="4" width="63.88"/>
    <col customWidth="1" min="5" max="5" width="125.13"/>
    <col customWidth="1" min="6" max="6" width="113.88"/>
    <col customWidth="1" min="7" max="7" width="93.0"/>
    <col customWidth="1" min="8" max="8" width="137.25"/>
    <col customWidth="1" min="9" max="9" width="131.25"/>
    <col customWidth="1" min="10" max="10" width="27.25"/>
    <col customWidth="1" min="11" max="12" width="18.5"/>
    <col customWidth="1" min="13" max="13" width="20.0"/>
    <col customWidth="1" min="14" max="14" width="15.25"/>
    <col customWidth="1" min="15" max="23" width="8.63"/>
  </cols>
  <sheetData>
    <row r="1">
      <c r="A1" s="1" t="s">
        <v>0</v>
      </c>
      <c r="B1" s="1" t="s">
        <v>1</v>
      </c>
      <c r="C1" s="1" t="s">
        <v>2</v>
      </c>
      <c r="D1" s="1" t="s">
        <v>3</v>
      </c>
      <c r="E1" s="1" t="s">
        <v>4</v>
      </c>
      <c r="F1" s="1" t="s">
        <v>5</v>
      </c>
      <c r="G1" s="1" t="s">
        <v>6</v>
      </c>
      <c r="H1" s="1" t="s">
        <v>7</v>
      </c>
      <c r="I1" s="1" t="s">
        <v>8</v>
      </c>
      <c r="J1" s="2" t="s">
        <v>9</v>
      </c>
      <c r="K1" s="2" t="s">
        <v>10</v>
      </c>
      <c r="L1" s="2" t="s">
        <v>11</v>
      </c>
      <c r="M1" s="2" t="s">
        <v>12</v>
      </c>
      <c r="N1" s="2" t="s">
        <v>13</v>
      </c>
    </row>
    <row r="2">
      <c r="A2" s="1" t="s">
        <v>14</v>
      </c>
      <c r="B2" s="1">
        <v>7690771.0</v>
      </c>
      <c r="C2" s="1" t="s">
        <v>82</v>
      </c>
      <c r="D2" s="1" t="s">
        <v>83</v>
      </c>
      <c r="E2" s="1" t="s">
        <v>84</v>
      </c>
      <c r="F2" s="1" t="s">
        <v>85</v>
      </c>
      <c r="G2" s="1" t="s">
        <v>19</v>
      </c>
      <c r="H2" s="1" t="s">
        <v>86</v>
      </c>
      <c r="I2" s="1" t="s">
        <v>87</v>
      </c>
      <c r="J2" s="1" t="str">
        <f t="shared" ref="J2:J380" si="1">IF(TRIM(H2)="YES","Compliant","Non-Compliant")</f>
        <v>Non-Compliant</v>
      </c>
      <c r="K2" s="1" t="str">
        <f t="shared" ref="K2:K380" si="2">IF(G2="YES","Incentive","Non-Incentive")</f>
        <v>Non-Incentive</v>
      </c>
      <c r="L2" s="1" t="str">
        <f t="shared" ref="L2:L380" si="3">LEFT(A2,3)</f>
        <v>TUG</v>
      </c>
      <c r="M2" s="1">
        <f t="shared" ref="M2:M380" si="4">IFS(
E2="Completed",1,
E2="Pending",2,
TRUE,3
)</f>
        <v>3</v>
      </c>
      <c r="N2" s="1">
        <f t="shared" ref="N2:N380" si="5">YEAR(C2)</f>
        <v>2017</v>
      </c>
    </row>
    <row r="3">
      <c r="A3" s="1" t="s">
        <v>14</v>
      </c>
      <c r="B3" s="1">
        <v>1247813.0</v>
      </c>
      <c r="C3" s="1" t="s">
        <v>1342</v>
      </c>
      <c r="D3" s="1" t="s">
        <v>1348</v>
      </c>
      <c r="E3" s="1" t="s">
        <v>1349</v>
      </c>
      <c r="F3" s="1" t="s">
        <v>1350</v>
      </c>
      <c r="G3" s="1" t="s">
        <v>19</v>
      </c>
      <c r="H3" s="1" t="s">
        <v>1351</v>
      </c>
      <c r="I3" s="1" t="s">
        <v>1352</v>
      </c>
      <c r="J3" s="1" t="str">
        <f t="shared" si="1"/>
        <v>Non-Compliant</v>
      </c>
      <c r="K3" s="1" t="str">
        <f t="shared" si="2"/>
        <v>Non-Incentive</v>
      </c>
      <c r="L3" s="1" t="str">
        <f t="shared" si="3"/>
        <v>TUG</v>
      </c>
      <c r="M3" s="1">
        <f t="shared" si="4"/>
        <v>3</v>
      </c>
      <c r="N3" s="1">
        <f t="shared" si="5"/>
        <v>2017</v>
      </c>
    </row>
    <row r="4">
      <c r="A4" s="1" t="s">
        <v>14</v>
      </c>
      <c r="B4" s="1">
        <v>1249499.0</v>
      </c>
      <c r="C4" s="1" t="s">
        <v>1342</v>
      </c>
      <c r="D4" s="1" t="s">
        <v>1353</v>
      </c>
      <c r="E4" s="1" t="s">
        <v>1349</v>
      </c>
      <c r="F4" s="1" t="s">
        <v>1354</v>
      </c>
      <c r="G4" s="1" t="s">
        <v>1355</v>
      </c>
      <c r="H4" s="1" t="s">
        <v>1356</v>
      </c>
      <c r="I4" s="1" t="s">
        <v>1347</v>
      </c>
      <c r="J4" s="1" t="str">
        <f t="shared" si="1"/>
        <v>Non-Compliant</v>
      </c>
      <c r="K4" s="1" t="str">
        <f t="shared" si="2"/>
        <v>Non-Incentive</v>
      </c>
      <c r="L4" s="1" t="str">
        <f t="shared" si="3"/>
        <v>TUG</v>
      </c>
      <c r="M4" s="1">
        <f t="shared" si="4"/>
        <v>3</v>
      </c>
      <c r="N4" s="1">
        <f t="shared" si="5"/>
        <v>2017</v>
      </c>
    </row>
    <row r="5">
      <c r="A5" s="1" t="s">
        <v>14</v>
      </c>
      <c r="B5" s="1">
        <v>1249514.0</v>
      </c>
      <c r="C5" s="1" t="s">
        <v>1342</v>
      </c>
      <c r="D5" s="1" t="s">
        <v>1357</v>
      </c>
      <c r="E5" s="1" t="s">
        <v>1349</v>
      </c>
      <c r="F5" s="1" t="s">
        <v>1354</v>
      </c>
      <c r="G5" s="1" t="s">
        <v>1358</v>
      </c>
      <c r="H5" s="1" t="s">
        <v>1359</v>
      </c>
      <c r="I5" s="1" t="s">
        <v>1347</v>
      </c>
      <c r="J5" s="1" t="str">
        <f t="shared" si="1"/>
        <v>Non-Compliant</v>
      </c>
      <c r="K5" s="1" t="str">
        <f t="shared" si="2"/>
        <v>Non-Incentive</v>
      </c>
      <c r="L5" s="1" t="str">
        <f t="shared" si="3"/>
        <v>TUG</v>
      </c>
      <c r="M5" s="1">
        <f t="shared" si="4"/>
        <v>3</v>
      </c>
      <c r="N5" s="1">
        <f t="shared" si="5"/>
        <v>2017</v>
      </c>
    </row>
    <row r="6">
      <c r="A6" s="1" t="s">
        <v>14</v>
      </c>
      <c r="B6" s="1">
        <v>1197442.0</v>
      </c>
      <c r="C6" s="1" t="s">
        <v>1304</v>
      </c>
      <c r="D6" s="1" t="s">
        <v>1315</v>
      </c>
      <c r="E6" s="1" t="s">
        <v>1316</v>
      </c>
      <c r="F6" s="1" t="s">
        <v>1317</v>
      </c>
      <c r="G6" s="1" t="s">
        <v>37</v>
      </c>
      <c r="H6" s="1" t="s">
        <v>1318</v>
      </c>
      <c r="I6" s="1" t="s">
        <v>1319</v>
      </c>
      <c r="J6" s="1" t="str">
        <f t="shared" si="1"/>
        <v>Non-Compliant</v>
      </c>
      <c r="K6" s="1" t="str">
        <f t="shared" si="2"/>
        <v>Non-Incentive</v>
      </c>
      <c r="L6" s="1" t="str">
        <f t="shared" si="3"/>
        <v>TUG</v>
      </c>
      <c r="M6" s="1">
        <f t="shared" si="4"/>
        <v>3</v>
      </c>
      <c r="N6" s="1">
        <f t="shared" si="5"/>
        <v>2017</v>
      </c>
    </row>
    <row r="7">
      <c r="A7" s="1" t="s">
        <v>14</v>
      </c>
      <c r="B7" s="1">
        <v>1868552.0</v>
      </c>
      <c r="C7" s="1" t="s">
        <v>1693</v>
      </c>
      <c r="D7" s="1" t="s">
        <v>1608</v>
      </c>
      <c r="E7" s="1" t="s">
        <v>1685</v>
      </c>
      <c r="F7" s="1" t="s">
        <v>1707</v>
      </c>
      <c r="G7" s="1" t="s">
        <v>37</v>
      </c>
      <c r="H7" s="1" t="s">
        <v>1708</v>
      </c>
      <c r="I7" s="1" t="s">
        <v>1709</v>
      </c>
      <c r="J7" s="1" t="str">
        <f t="shared" si="1"/>
        <v>Non-Compliant</v>
      </c>
      <c r="K7" s="1" t="str">
        <f t="shared" si="2"/>
        <v>Non-Incentive</v>
      </c>
      <c r="L7" s="1" t="str">
        <f t="shared" si="3"/>
        <v>TUG</v>
      </c>
      <c r="M7" s="1">
        <f t="shared" si="4"/>
        <v>3</v>
      </c>
      <c r="N7" s="1">
        <f t="shared" si="5"/>
        <v>2017</v>
      </c>
    </row>
    <row r="8">
      <c r="A8" s="1" t="s">
        <v>14</v>
      </c>
      <c r="B8" s="1">
        <v>1865148.0</v>
      </c>
      <c r="C8" s="1" t="s">
        <v>1693</v>
      </c>
      <c r="D8" s="1" t="s">
        <v>1608</v>
      </c>
      <c r="E8" s="1" t="s">
        <v>1685</v>
      </c>
      <c r="F8" s="1" t="s">
        <v>1694</v>
      </c>
      <c r="G8" s="1" t="s">
        <v>37</v>
      </c>
      <c r="H8" s="1" t="s">
        <v>1695</v>
      </c>
      <c r="I8" s="1" t="s">
        <v>1696</v>
      </c>
      <c r="J8" s="1" t="str">
        <f t="shared" si="1"/>
        <v>Non-Compliant</v>
      </c>
      <c r="K8" s="1" t="str">
        <f t="shared" si="2"/>
        <v>Non-Incentive</v>
      </c>
      <c r="L8" s="1" t="str">
        <f t="shared" si="3"/>
        <v>TUG</v>
      </c>
      <c r="M8" s="1">
        <f t="shared" si="4"/>
        <v>3</v>
      </c>
      <c r="N8" s="1">
        <f t="shared" si="5"/>
        <v>2017</v>
      </c>
    </row>
    <row r="9">
      <c r="A9" s="1" t="s">
        <v>14</v>
      </c>
      <c r="B9" s="1">
        <v>1838515.0</v>
      </c>
      <c r="C9" s="1" t="s">
        <v>1683</v>
      </c>
      <c r="D9" s="1" t="s">
        <v>1684</v>
      </c>
      <c r="E9" s="1" t="s">
        <v>1685</v>
      </c>
      <c r="F9" s="1" t="s">
        <v>1686</v>
      </c>
      <c r="G9" s="1" t="s">
        <v>37</v>
      </c>
      <c r="H9" s="1" t="s">
        <v>1687</v>
      </c>
      <c r="I9" s="1" t="s">
        <v>1688</v>
      </c>
      <c r="J9" s="1" t="str">
        <f t="shared" si="1"/>
        <v>Non-Compliant</v>
      </c>
      <c r="K9" s="1" t="str">
        <f t="shared" si="2"/>
        <v>Non-Incentive</v>
      </c>
      <c r="L9" s="1" t="str">
        <f t="shared" si="3"/>
        <v>TUG</v>
      </c>
      <c r="M9" s="1">
        <f t="shared" si="4"/>
        <v>3</v>
      </c>
      <c r="N9" s="1">
        <f t="shared" si="5"/>
        <v>2017</v>
      </c>
    </row>
    <row r="10">
      <c r="A10" s="1" t="s">
        <v>14</v>
      </c>
      <c r="B10" s="1">
        <v>9536682.0</v>
      </c>
      <c r="C10" s="1" t="s">
        <v>1078</v>
      </c>
      <c r="D10" s="1" t="s">
        <v>1093</v>
      </c>
      <c r="E10" s="1" t="s">
        <v>1094</v>
      </c>
      <c r="F10" s="1" t="s">
        <v>1095</v>
      </c>
      <c r="G10" s="1" t="s">
        <v>19</v>
      </c>
      <c r="H10" s="1" t="s">
        <v>1096</v>
      </c>
      <c r="I10" s="1" t="s">
        <v>1097</v>
      </c>
      <c r="J10" s="1" t="str">
        <f t="shared" si="1"/>
        <v>Non-Compliant</v>
      </c>
      <c r="K10" s="1" t="str">
        <f t="shared" si="2"/>
        <v>Non-Incentive</v>
      </c>
      <c r="L10" s="1" t="str">
        <f t="shared" si="3"/>
        <v>TUG</v>
      </c>
      <c r="M10" s="1">
        <f t="shared" si="4"/>
        <v>3</v>
      </c>
      <c r="N10" s="1">
        <f t="shared" si="5"/>
        <v>2017</v>
      </c>
    </row>
    <row r="11">
      <c r="A11" s="1" t="s">
        <v>14</v>
      </c>
      <c r="B11" s="1">
        <v>9522381.0</v>
      </c>
      <c r="C11" s="1" t="s">
        <v>1078</v>
      </c>
      <c r="D11" s="1" t="s">
        <v>1079</v>
      </c>
      <c r="E11" s="1" t="s">
        <v>1080</v>
      </c>
      <c r="F11" s="1" t="s">
        <v>1081</v>
      </c>
      <c r="G11" s="1" t="s">
        <v>37</v>
      </c>
      <c r="H11" s="1" t="s">
        <v>1082</v>
      </c>
      <c r="I11" s="1" t="s">
        <v>1083</v>
      </c>
      <c r="J11" s="1" t="str">
        <f t="shared" si="1"/>
        <v>Non-Compliant</v>
      </c>
      <c r="K11" s="1" t="str">
        <f t="shared" si="2"/>
        <v>Non-Incentive</v>
      </c>
      <c r="L11" s="1" t="str">
        <f t="shared" si="3"/>
        <v>TUG</v>
      </c>
      <c r="M11" s="1">
        <f t="shared" si="4"/>
        <v>3</v>
      </c>
      <c r="N11" s="1">
        <f t="shared" si="5"/>
        <v>2017</v>
      </c>
    </row>
    <row r="12">
      <c r="A12" s="1" t="s">
        <v>14</v>
      </c>
      <c r="B12" s="1">
        <v>8159434.0</v>
      </c>
      <c r="C12" s="1" t="s">
        <v>386</v>
      </c>
      <c r="D12" s="1" t="s">
        <v>387</v>
      </c>
      <c r="E12" s="1" t="s">
        <v>388</v>
      </c>
      <c r="F12" s="1" t="s">
        <v>389</v>
      </c>
      <c r="G12" s="1" t="s">
        <v>19</v>
      </c>
      <c r="H12" s="1" t="s">
        <v>390</v>
      </c>
      <c r="I12" s="1" t="s">
        <v>391</v>
      </c>
      <c r="J12" s="1" t="str">
        <f t="shared" si="1"/>
        <v>Non-Compliant</v>
      </c>
      <c r="K12" s="1" t="str">
        <f t="shared" si="2"/>
        <v>Non-Incentive</v>
      </c>
      <c r="L12" s="1" t="str">
        <f t="shared" si="3"/>
        <v>TUG</v>
      </c>
      <c r="M12" s="1">
        <f t="shared" si="4"/>
        <v>3</v>
      </c>
      <c r="N12" s="1">
        <f t="shared" si="5"/>
        <v>2017</v>
      </c>
    </row>
    <row r="13">
      <c r="A13" s="1" t="s">
        <v>14</v>
      </c>
      <c r="B13" s="1">
        <v>8160683.0</v>
      </c>
      <c r="C13" s="1" t="s">
        <v>386</v>
      </c>
      <c r="D13" s="1" t="s">
        <v>392</v>
      </c>
      <c r="E13" s="1" t="s">
        <v>388</v>
      </c>
      <c r="F13" s="1" t="s">
        <v>389</v>
      </c>
      <c r="G13" s="1" t="s">
        <v>19</v>
      </c>
      <c r="H13" s="1" t="s">
        <v>393</v>
      </c>
      <c r="I13" s="1" t="s">
        <v>391</v>
      </c>
      <c r="J13" s="1" t="str">
        <f t="shared" si="1"/>
        <v>Non-Compliant</v>
      </c>
      <c r="K13" s="1" t="str">
        <f t="shared" si="2"/>
        <v>Non-Incentive</v>
      </c>
      <c r="L13" s="1" t="str">
        <f t="shared" si="3"/>
        <v>TUG</v>
      </c>
      <c r="M13" s="1">
        <f t="shared" si="4"/>
        <v>3</v>
      </c>
      <c r="N13" s="1">
        <f t="shared" si="5"/>
        <v>2017</v>
      </c>
    </row>
    <row r="14">
      <c r="A14" s="1" t="s">
        <v>14</v>
      </c>
      <c r="B14" s="1">
        <v>8304313.0</v>
      </c>
      <c r="C14" s="1" t="s">
        <v>495</v>
      </c>
      <c r="D14" s="1" t="s">
        <v>496</v>
      </c>
      <c r="E14" s="1" t="s">
        <v>388</v>
      </c>
      <c r="F14" s="1" t="s">
        <v>497</v>
      </c>
      <c r="G14" s="1" t="s">
        <v>19</v>
      </c>
      <c r="H14" s="1" t="s">
        <v>498</v>
      </c>
      <c r="I14" s="1" t="s">
        <v>499</v>
      </c>
      <c r="J14" s="1" t="str">
        <f t="shared" si="1"/>
        <v>Non-Compliant</v>
      </c>
      <c r="K14" s="1" t="str">
        <f t="shared" si="2"/>
        <v>Non-Incentive</v>
      </c>
      <c r="L14" s="1" t="str">
        <f t="shared" si="3"/>
        <v>TUG</v>
      </c>
      <c r="M14" s="1">
        <f t="shared" si="4"/>
        <v>3</v>
      </c>
      <c r="N14" s="1">
        <f t="shared" si="5"/>
        <v>2017</v>
      </c>
    </row>
    <row r="15">
      <c r="A15" s="1" t="s">
        <v>14</v>
      </c>
      <c r="B15" s="1">
        <v>8235656.0</v>
      </c>
      <c r="C15" s="1" t="s">
        <v>448</v>
      </c>
      <c r="D15" s="1" t="s">
        <v>453</v>
      </c>
      <c r="E15" s="1" t="s">
        <v>388</v>
      </c>
      <c r="F15" s="1" t="s">
        <v>454</v>
      </c>
      <c r="G15" s="1" t="s">
        <v>455</v>
      </c>
      <c r="H15" s="1" t="s">
        <v>456</v>
      </c>
      <c r="I15" s="1" t="s">
        <v>457</v>
      </c>
      <c r="J15" s="1" t="str">
        <f t="shared" si="1"/>
        <v>Non-Compliant</v>
      </c>
      <c r="K15" s="1" t="str">
        <f t="shared" si="2"/>
        <v>Non-Incentive</v>
      </c>
      <c r="L15" s="1" t="str">
        <f t="shared" si="3"/>
        <v>TUG</v>
      </c>
      <c r="M15" s="1">
        <f t="shared" si="4"/>
        <v>3</v>
      </c>
      <c r="N15" s="1">
        <f t="shared" si="5"/>
        <v>2017</v>
      </c>
    </row>
    <row r="16">
      <c r="A16" s="1" t="s">
        <v>14</v>
      </c>
      <c r="B16" s="1">
        <v>8338701.0</v>
      </c>
      <c r="C16" s="1" t="s">
        <v>504</v>
      </c>
      <c r="D16" s="1" t="s">
        <v>519</v>
      </c>
      <c r="E16" s="1" t="s">
        <v>388</v>
      </c>
      <c r="F16" s="1" t="s">
        <v>520</v>
      </c>
      <c r="G16" s="1" t="s">
        <v>19</v>
      </c>
      <c r="H16" s="1" t="s">
        <v>521</v>
      </c>
      <c r="I16" s="1" t="s">
        <v>522</v>
      </c>
      <c r="J16" s="1" t="str">
        <f t="shared" si="1"/>
        <v>Non-Compliant</v>
      </c>
      <c r="K16" s="1" t="str">
        <f t="shared" si="2"/>
        <v>Non-Incentive</v>
      </c>
      <c r="L16" s="1" t="str">
        <f t="shared" si="3"/>
        <v>TUG</v>
      </c>
      <c r="M16" s="1">
        <f t="shared" si="4"/>
        <v>3</v>
      </c>
      <c r="N16" s="1">
        <f t="shared" si="5"/>
        <v>2017</v>
      </c>
    </row>
    <row r="17">
      <c r="A17" s="1" t="s">
        <v>14</v>
      </c>
      <c r="B17" s="1">
        <v>8325105.0</v>
      </c>
      <c r="C17" s="1" t="s">
        <v>504</v>
      </c>
      <c r="D17" s="1" t="s">
        <v>514</v>
      </c>
      <c r="E17" s="1" t="s">
        <v>515</v>
      </c>
      <c r="F17" s="1" t="s">
        <v>516</v>
      </c>
      <c r="G17" s="1" t="s">
        <v>19</v>
      </c>
      <c r="H17" s="1" t="s">
        <v>517</v>
      </c>
      <c r="I17" s="1" t="s">
        <v>518</v>
      </c>
      <c r="J17" s="1" t="str">
        <f t="shared" si="1"/>
        <v>Non-Compliant</v>
      </c>
      <c r="K17" s="1" t="str">
        <f t="shared" si="2"/>
        <v>Non-Incentive</v>
      </c>
      <c r="L17" s="1" t="str">
        <f t="shared" si="3"/>
        <v>TUG</v>
      </c>
      <c r="M17" s="1">
        <f t="shared" si="4"/>
        <v>3</v>
      </c>
      <c r="N17" s="1">
        <f t="shared" si="5"/>
        <v>2017</v>
      </c>
    </row>
    <row r="18">
      <c r="A18" s="1" t="s">
        <v>14</v>
      </c>
      <c r="B18" s="1">
        <v>8323127.0</v>
      </c>
      <c r="C18" s="1" t="s">
        <v>504</v>
      </c>
      <c r="D18" s="1" t="s">
        <v>509</v>
      </c>
      <c r="E18" s="1" t="s">
        <v>510</v>
      </c>
      <c r="F18" s="1" t="s">
        <v>511</v>
      </c>
      <c r="G18" s="1" t="s">
        <v>37</v>
      </c>
      <c r="H18" s="1" t="s">
        <v>512</v>
      </c>
      <c r="I18" s="1" t="s">
        <v>513</v>
      </c>
      <c r="J18" s="1" t="str">
        <f t="shared" si="1"/>
        <v>Non-Compliant</v>
      </c>
      <c r="K18" s="1" t="str">
        <f t="shared" si="2"/>
        <v>Non-Incentive</v>
      </c>
      <c r="L18" s="1" t="str">
        <f t="shared" si="3"/>
        <v>TUG</v>
      </c>
      <c r="M18" s="1">
        <f t="shared" si="4"/>
        <v>3</v>
      </c>
      <c r="N18" s="1">
        <f t="shared" si="5"/>
        <v>2017</v>
      </c>
    </row>
    <row r="19">
      <c r="A19" s="1" t="s">
        <v>14</v>
      </c>
      <c r="B19" s="1">
        <v>7662086.0</v>
      </c>
      <c r="C19" s="1" t="s">
        <v>68</v>
      </c>
      <c r="D19" s="1" t="s">
        <v>77</v>
      </c>
      <c r="E19" s="1" t="s">
        <v>78</v>
      </c>
      <c r="F19" s="1" t="s">
        <v>79</v>
      </c>
      <c r="G19" s="1" t="s">
        <v>19</v>
      </c>
      <c r="H19" s="1" t="s">
        <v>80</v>
      </c>
      <c r="I19" s="1" t="s">
        <v>81</v>
      </c>
      <c r="J19" s="1" t="str">
        <f t="shared" si="1"/>
        <v>Non-Compliant</v>
      </c>
      <c r="K19" s="1" t="str">
        <f t="shared" si="2"/>
        <v>Non-Incentive</v>
      </c>
      <c r="L19" s="1" t="str">
        <f t="shared" si="3"/>
        <v>TUG</v>
      </c>
      <c r="M19" s="1">
        <f t="shared" si="4"/>
        <v>3</v>
      </c>
      <c r="N19" s="1">
        <f t="shared" si="5"/>
        <v>2017</v>
      </c>
    </row>
    <row r="20">
      <c r="A20" s="1" t="s">
        <v>14</v>
      </c>
      <c r="B20" s="1">
        <v>7712075.0</v>
      </c>
      <c r="C20" s="1" t="s">
        <v>93</v>
      </c>
      <c r="D20" s="1" t="s">
        <v>98</v>
      </c>
      <c r="E20" s="1" t="s">
        <v>78</v>
      </c>
      <c r="F20" s="1" t="s">
        <v>99</v>
      </c>
      <c r="G20" s="1" t="s">
        <v>19</v>
      </c>
      <c r="H20" s="1" t="s">
        <v>100</v>
      </c>
      <c r="I20" s="1" t="s">
        <v>101</v>
      </c>
      <c r="J20" s="1" t="str">
        <f t="shared" si="1"/>
        <v>Non-Compliant</v>
      </c>
      <c r="K20" s="1" t="str">
        <f t="shared" si="2"/>
        <v>Non-Incentive</v>
      </c>
      <c r="L20" s="1" t="str">
        <f t="shared" si="3"/>
        <v>TUG</v>
      </c>
      <c r="M20" s="1">
        <f t="shared" si="4"/>
        <v>3</v>
      </c>
      <c r="N20" s="1">
        <f t="shared" si="5"/>
        <v>2017</v>
      </c>
    </row>
    <row r="21" ht="15.75" customHeight="1">
      <c r="A21" s="1" t="s">
        <v>14</v>
      </c>
      <c r="B21" s="1">
        <v>7718281.0</v>
      </c>
      <c r="C21" s="1" t="s">
        <v>93</v>
      </c>
      <c r="D21" s="1" t="s">
        <v>102</v>
      </c>
      <c r="E21" s="1" t="s">
        <v>103</v>
      </c>
      <c r="F21" s="1" t="s">
        <v>104</v>
      </c>
      <c r="G21" s="1" t="s">
        <v>19</v>
      </c>
      <c r="H21" s="1" t="s">
        <v>105</v>
      </c>
      <c r="I21" s="1" t="s">
        <v>106</v>
      </c>
      <c r="J21" s="1" t="str">
        <f t="shared" si="1"/>
        <v>Non-Compliant</v>
      </c>
      <c r="K21" s="1" t="str">
        <f t="shared" si="2"/>
        <v>Non-Incentive</v>
      </c>
      <c r="L21" s="1" t="str">
        <f t="shared" si="3"/>
        <v>TUG</v>
      </c>
      <c r="M21" s="1">
        <f t="shared" si="4"/>
        <v>3</v>
      </c>
      <c r="N21" s="1">
        <f t="shared" si="5"/>
        <v>2017</v>
      </c>
    </row>
    <row r="22" ht="15.75" customHeight="1">
      <c r="A22" s="1" t="s">
        <v>14</v>
      </c>
      <c r="B22" s="1">
        <v>1865329.0</v>
      </c>
      <c r="C22" s="1" t="s">
        <v>1693</v>
      </c>
      <c r="D22" s="1" t="s">
        <v>1697</v>
      </c>
      <c r="E22" s="1" t="s">
        <v>1698</v>
      </c>
      <c r="F22" s="1" t="s">
        <v>1699</v>
      </c>
      <c r="G22" s="1" t="s">
        <v>37</v>
      </c>
      <c r="H22" s="1" t="s">
        <v>1700</v>
      </c>
      <c r="I22" s="1" t="s">
        <v>1701</v>
      </c>
      <c r="J22" s="1" t="str">
        <f t="shared" si="1"/>
        <v>Non-Compliant</v>
      </c>
      <c r="K22" s="1" t="str">
        <f t="shared" si="2"/>
        <v>Non-Incentive</v>
      </c>
      <c r="L22" s="1" t="str">
        <f t="shared" si="3"/>
        <v>TUG</v>
      </c>
      <c r="M22" s="1">
        <f t="shared" si="4"/>
        <v>3</v>
      </c>
      <c r="N22" s="1">
        <f t="shared" si="5"/>
        <v>2017</v>
      </c>
    </row>
    <row r="23" ht="15.75" customHeight="1">
      <c r="A23" s="1" t="s">
        <v>14</v>
      </c>
      <c r="B23" s="1">
        <v>9597287.0</v>
      </c>
      <c r="C23" s="1" t="s">
        <v>1118</v>
      </c>
      <c r="D23" s="1" t="s">
        <v>1119</v>
      </c>
      <c r="E23" s="1" t="s">
        <v>1100</v>
      </c>
      <c r="F23" s="1" t="s">
        <v>1120</v>
      </c>
      <c r="G23" s="1" t="s">
        <v>37</v>
      </c>
      <c r="H23" s="1" t="s">
        <v>1121</v>
      </c>
      <c r="I23" s="1" t="s">
        <v>1122</v>
      </c>
      <c r="J23" s="1" t="str">
        <f t="shared" si="1"/>
        <v>Non-Compliant</v>
      </c>
      <c r="K23" s="1" t="str">
        <f t="shared" si="2"/>
        <v>Non-Incentive</v>
      </c>
      <c r="L23" s="1" t="str">
        <f t="shared" si="3"/>
        <v>TUG</v>
      </c>
      <c r="M23" s="1">
        <f t="shared" si="4"/>
        <v>3</v>
      </c>
      <c r="N23" s="1">
        <f t="shared" si="5"/>
        <v>2017</v>
      </c>
    </row>
    <row r="24" ht="15.75" customHeight="1">
      <c r="A24" s="1" t="s">
        <v>14</v>
      </c>
      <c r="B24" s="1">
        <v>9565498.0</v>
      </c>
      <c r="C24" s="1" t="s">
        <v>1098</v>
      </c>
      <c r="D24" s="1" t="s">
        <v>1099</v>
      </c>
      <c r="E24" s="1" t="s">
        <v>1100</v>
      </c>
      <c r="F24" s="1" t="s">
        <v>1101</v>
      </c>
      <c r="G24" s="1" t="s">
        <v>37</v>
      </c>
      <c r="H24" s="1" t="s">
        <v>1102</v>
      </c>
      <c r="I24" s="1" t="s">
        <v>1103</v>
      </c>
      <c r="J24" s="1" t="str">
        <f t="shared" si="1"/>
        <v>Non-Compliant</v>
      </c>
      <c r="K24" s="1" t="str">
        <f t="shared" si="2"/>
        <v>Non-Incentive</v>
      </c>
      <c r="L24" s="1" t="str">
        <f t="shared" si="3"/>
        <v>TUG</v>
      </c>
      <c r="M24" s="1">
        <f t="shared" si="4"/>
        <v>3</v>
      </c>
      <c r="N24" s="1">
        <f t="shared" si="5"/>
        <v>2017</v>
      </c>
    </row>
    <row r="25" ht="15.75" customHeight="1">
      <c r="A25" s="1" t="s">
        <v>14</v>
      </c>
      <c r="B25" s="1">
        <v>9575454.0</v>
      </c>
      <c r="C25" s="1" t="s">
        <v>1098</v>
      </c>
      <c r="D25" s="1" t="s">
        <v>1109</v>
      </c>
      <c r="E25" s="1" t="s">
        <v>1100</v>
      </c>
      <c r="F25" s="1" t="s">
        <v>1110</v>
      </c>
      <c r="G25" s="1" t="s">
        <v>37</v>
      </c>
      <c r="H25" s="1" t="s">
        <v>1111</v>
      </c>
      <c r="I25" s="1" t="s">
        <v>1112</v>
      </c>
      <c r="J25" s="1" t="str">
        <f t="shared" si="1"/>
        <v>Non-Compliant</v>
      </c>
      <c r="K25" s="1" t="str">
        <f t="shared" si="2"/>
        <v>Non-Incentive</v>
      </c>
      <c r="L25" s="1" t="str">
        <f t="shared" si="3"/>
        <v>TUG</v>
      </c>
      <c r="M25" s="1">
        <f t="shared" si="4"/>
        <v>3</v>
      </c>
      <c r="N25" s="1">
        <f t="shared" si="5"/>
        <v>2017</v>
      </c>
    </row>
    <row r="26" ht="15.75" customHeight="1">
      <c r="A26" s="1" t="s">
        <v>14</v>
      </c>
      <c r="B26" s="1">
        <v>7764312.0</v>
      </c>
      <c r="C26" s="1" t="s">
        <v>126</v>
      </c>
      <c r="D26" s="1" t="s">
        <v>136</v>
      </c>
      <c r="E26" s="1" t="s">
        <v>137</v>
      </c>
      <c r="F26" s="1" t="s">
        <v>138</v>
      </c>
      <c r="G26" s="1" t="s">
        <v>19</v>
      </c>
      <c r="H26" s="1" t="s">
        <v>139</v>
      </c>
      <c r="I26" s="1" t="s">
        <v>140</v>
      </c>
      <c r="J26" s="1" t="str">
        <f t="shared" si="1"/>
        <v>Non-Compliant</v>
      </c>
      <c r="K26" s="1" t="str">
        <f t="shared" si="2"/>
        <v>Non-Incentive</v>
      </c>
      <c r="L26" s="1" t="str">
        <f t="shared" si="3"/>
        <v>TUG</v>
      </c>
      <c r="M26" s="1">
        <f t="shared" si="4"/>
        <v>3</v>
      </c>
      <c r="N26" s="1">
        <f t="shared" si="5"/>
        <v>2017</v>
      </c>
    </row>
    <row r="27" ht="15.75" customHeight="1">
      <c r="A27" s="1" t="s">
        <v>14</v>
      </c>
      <c r="B27" s="1">
        <v>7747150.0</v>
      </c>
      <c r="C27" s="1" t="s">
        <v>112</v>
      </c>
      <c r="D27" s="1" t="s">
        <v>119</v>
      </c>
      <c r="E27" s="1" t="s">
        <v>95</v>
      </c>
      <c r="F27" s="1" t="s">
        <v>120</v>
      </c>
      <c r="G27" s="1" t="s">
        <v>19</v>
      </c>
      <c r="H27" s="1" t="s">
        <v>121</v>
      </c>
      <c r="I27" s="1" t="s">
        <v>122</v>
      </c>
      <c r="J27" s="1" t="str">
        <f t="shared" si="1"/>
        <v>Non-Compliant</v>
      </c>
      <c r="K27" s="1" t="str">
        <f t="shared" si="2"/>
        <v>Non-Incentive</v>
      </c>
      <c r="L27" s="1" t="str">
        <f t="shared" si="3"/>
        <v>TUG</v>
      </c>
      <c r="M27" s="1">
        <f t="shared" si="4"/>
        <v>3</v>
      </c>
      <c r="N27" s="1">
        <f t="shared" si="5"/>
        <v>2017</v>
      </c>
    </row>
    <row r="28" ht="15.75" customHeight="1">
      <c r="A28" s="1" t="s">
        <v>14</v>
      </c>
      <c r="B28" s="1">
        <v>7703453.0</v>
      </c>
      <c r="C28" s="1" t="s">
        <v>93</v>
      </c>
      <c r="D28" s="1" t="s">
        <v>94</v>
      </c>
      <c r="E28" s="1" t="s">
        <v>95</v>
      </c>
      <c r="F28" s="1" t="s">
        <v>96</v>
      </c>
      <c r="G28" s="1" t="s">
        <v>19</v>
      </c>
      <c r="H28" s="1" t="s">
        <v>97</v>
      </c>
      <c r="I28" s="1" t="s">
        <v>32</v>
      </c>
      <c r="J28" s="1" t="str">
        <f t="shared" si="1"/>
        <v>Non-Compliant</v>
      </c>
      <c r="K28" s="1" t="str">
        <f t="shared" si="2"/>
        <v>Non-Incentive</v>
      </c>
      <c r="L28" s="1" t="str">
        <f t="shared" si="3"/>
        <v>TUG</v>
      </c>
      <c r="M28" s="1">
        <f t="shared" si="4"/>
        <v>3</v>
      </c>
      <c r="N28" s="1">
        <f t="shared" si="5"/>
        <v>2017</v>
      </c>
    </row>
    <row r="29" ht="15.75" customHeight="1">
      <c r="A29" s="1" t="s">
        <v>14</v>
      </c>
      <c r="B29" s="1">
        <v>7742310.0</v>
      </c>
      <c r="C29" s="1" t="s">
        <v>112</v>
      </c>
      <c r="D29" s="1" t="s">
        <v>113</v>
      </c>
      <c r="E29" s="1" t="s">
        <v>114</v>
      </c>
      <c r="F29" s="1" t="s">
        <v>115</v>
      </c>
      <c r="G29" s="1" t="s">
        <v>116</v>
      </c>
      <c r="H29" s="1" t="s">
        <v>117</v>
      </c>
      <c r="I29" s="1" t="s">
        <v>118</v>
      </c>
      <c r="J29" s="1" t="str">
        <f t="shared" si="1"/>
        <v>Non-Compliant</v>
      </c>
      <c r="K29" s="1" t="str">
        <f t="shared" si="2"/>
        <v>Non-Incentive</v>
      </c>
      <c r="L29" s="1" t="str">
        <f t="shared" si="3"/>
        <v>TUG</v>
      </c>
      <c r="M29" s="1">
        <f t="shared" si="4"/>
        <v>3</v>
      </c>
      <c r="N29" s="1">
        <f t="shared" si="5"/>
        <v>2017</v>
      </c>
    </row>
    <row r="30" ht="15.75" customHeight="1">
      <c r="A30" s="1" t="s">
        <v>14</v>
      </c>
      <c r="B30" s="1">
        <v>7764000.0</v>
      </c>
      <c r="C30" s="1" t="s">
        <v>126</v>
      </c>
      <c r="D30" s="1" t="s">
        <v>132</v>
      </c>
      <c r="E30" s="1" t="s">
        <v>114</v>
      </c>
      <c r="F30" s="1" t="s">
        <v>133</v>
      </c>
      <c r="G30" s="1" t="s">
        <v>19</v>
      </c>
      <c r="H30" s="1" t="s">
        <v>134</v>
      </c>
      <c r="I30" s="1" t="s">
        <v>135</v>
      </c>
      <c r="J30" s="1" t="str">
        <f t="shared" si="1"/>
        <v>Non-Compliant</v>
      </c>
      <c r="K30" s="1" t="str">
        <f t="shared" si="2"/>
        <v>Non-Incentive</v>
      </c>
      <c r="L30" s="1" t="str">
        <f t="shared" si="3"/>
        <v>TUG</v>
      </c>
      <c r="M30" s="1">
        <f t="shared" si="4"/>
        <v>3</v>
      </c>
      <c r="N30" s="1">
        <f t="shared" si="5"/>
        <v>2017</v>
      </c>
    </row>
    <row r="31" ht="15.75" customHeight="1">
      <c r="A31" s="1" t="s">
        <v>14</v>
      </c>
      <c r="B31" s="1">
        <v>1811286.0</v>
      </c>
      <c r="C31" s="1" t="s">
        <v>1663</v>
      </c>
      <c r="D31" s="1" t="s">
        <v>1672</v>
      </c>
      <c r="E31" s="1" t="s">
        <v>1673</v>
      </c>
      <c r="F31" s="1" t="s">
        <v>1674</v>
      </c>
      <c r="G31" s="1" t="s">
        <v>19</v>
      </c>
      <c r="H31" s="1" t="s">
        <v>1675</v>
      </c>
      <c r="I31" s="1" t="s">
        <v>1676</v>
      </c>
      <c r="J31" s="1" t="str">
        <f t="shared" si="1"/>
        <v>Non-Compliant</v>
      </c>
      <c r="K31" s="1" t="str">
        <f t="shared" si="2"/>
        <v>Non-Incentive</v>
      </c>
      <c r="L31" s="1" t="str">
        <f t="shared" si="3"/>
        <v>TUG</v>
      </c>
      <c r="M31" s="1">
        <f t="shared" si="4"/>
        <v>3</v>
      </c>
      <c r="N31" s="1">
        <f t="shared" si="5"/>
        <v>2017</v>
      </c>
    </row>
    <row r="32" ht="15.75" customHeight="1">
      <c r="A32" s="1" t="s">
        <v>14</v>
      </c>
      <c r="B32" s="1">
        <v>9009228.0</v>
      </c>
      <c r="C32" s="1" t="s">
        <v>906</v>
      </c>
      <c r="D32" s="1" t="s">
        <v>919</v>
      </c>
      <c r="E32" s="1" t="s">
        <v>755</v>
      </c>
      <c r="F32" s="1" t="s">
        <v>920</v>
      </c>
      <c r="G32" s="1" t="s">
        <v>37</v>
      </c>
      <c r="H32" s="1" t="s">
        <v>921</v>
      </c>
      <c r="I32" s="1" t="s">
        <v>922</v>
      </c>
      <c r="J32" s="1" t="str">
        <f t="shared" si="1"/>
        <v>Non-Compliant</v>
      </c>
      <c r="K32" s="1" t="str">
        <f t="shared" si="2"/>
        <v>Non-Incentive</v>
      </c>
      <c r="L32" s="1" t="str">
        <f t="shared" si="3"/>
        <v>TUG</v>
      </c>
      <c r="M32" s="1">
        <f t="shared" si="4"/>
        <v>3</v>
      </c>
      <c r="N32" s="1">
        <f t="shared" si="5"/>
        <v>2017</v>
      </c>
    </row>
    <row r="33" ht="15.75" customHeight="1">
      <c r="A33" s="1" t="s">
        <v>14</v>
      </c>
      <c r="B33" s="1">
        <v>8697591.0</v>
      </c>
      <c r="C33" s="1" t="s">
        <v>753</v>
      </c>
      <c r="D33" s="1" t="s">
        <v>754</v>
      </c>
      <c r="E33" s="1" t="s">
        <v>755</v>
      </c>
      <c r="F33" s="1" t="s">
        <v>756</v>
      </c>
      <c r="G33" s="1" t="s">
        <v>37</v>
      </c>
      <c r="H33" s="1" t="s">
        <v>757</v>
      </c>
      <c r="I33" s="1" t="s">
        <v>250</v>
      </c>
      <c r="J33" s="1" t="str">
        <f t="shared" si="1"/>
        <v>Non-Compliant</v>
      </c>
      <c r="K33" s="1" t="str">
        <f t="shared" si="2"/>
        <v>Non-Incentive</v>
      </c>
      <c r="L33" s="1" t="str">
        <f t="shared" si="3"/>
        <v>TUG</v>
      </c>
      <c r="M33" s="1">
        <f t="shared" si="4"/>
        <v>3</v>
      </c>
      <c r="N33" s="1">
        <f t="shared" si="5"/>
        <v>2017</v>
      </c>
    </row>
    <row r="34" ht="15.75" customHeight="1">
      <c r="A34" s="1" t="s">
        <v>14</v>
      </c>
      <c r="B34" s="1">
        <v>8942181.0</v>
      </c>
      <c r="C34" s="1" t="s">
        <v>867</v>
      </c>
      <c r="D34" s="1" t="s">
        <v>873</v>
      </c>
      <c r="E34" s="1" t="s">
        <v>755</v>
      </c>
      <c r="F34" s="1" t="s">
        <v>874</v>
      </c>
      <c r="G34" s="1" t="s">
        <v>37</v>
      </c>
      <c r="H34" s="1" t="s">
        <v>875</v>
      </c>
      <c r="I34" s="1" t="s">
        <v>876</v>
      </c>
      <c r="J34" s="1" t="str">
        <f t="shared" si="1"/>
        <v>Non-Compliant</v>
      </c>
      <c r="K34" s="1" t="str">
        <f t="shared" si="2"/>
        <v>Non-Incentive</v>
      </c>
      <c r="L34" s="1" t="str">
        <f t="shared" si="3"/>
        <v>TUG</v>
      </c>
      <c r="M34" s="1">
        <f t="shared" si="4"/>
        <v>3</v>
      </c>
      <c r="N34" s="1">
        <f t="shared" si="5"/>
        <v>2017</v>
      </c>
    </row>
    <row r="35" ht="15.75" customHeight="1">
      <c r="A35" s="1" t="s">
        <v>14</v>
      </c>
      <c r="B35" s="1">
        <v>8942185.0</v>
      </c>
      <c r="C35" s="1" t="s">
        <v>867</v>
      </c>
      <c r="D35" s="1" t="s">
        <v>877</v>
      </c>
      <c r="E35" s="1" t="s">
        <v>755</v>
      </c>
      <c r="F35" s="1" t="s">
        <v>878</v>
      </c>
      <c r="G35" s="1" t="s">
        <v>37</v>
      </c>
      <c r="H35" s="1" t="s">
        <v>879</v>
      </c>
      <c r="I35" s="1" t="s">
        <v>876</v>
      </c>
      <c r="J35" s="1" t="str">
        <f t="shared" si="1"/>
        <v>Non-Compliant</v>
      </c>
      <c r="K35" s="1" t="str">
        <f t="shared" si="2"/>
        <v>Non-Incentive</v>
      </c>
      <c r="L35" s="1" t="str">
        <f t="shared" si="3"/>
        <v>TUG</v>
      </c>
      <c r="M35" s="1">
        <f t="shared" si="4"/>
        <v>3</v>
      </c>
      <c r="N35" s="1">
        <f t="shared" si="5"/>
        <v>2017</v>
      </c>
    </row>
    <row r="36" ht="15.75" customHeight="1">
      <c r="A36" s="1" t="s">
        <v>14</v>
      </c>
      <c r="B36" s="1">
        <v>7721241.0</v>
      </c>
      <c r="C36" s="1" t="s">
        <v>93</v>
      </c>
      <c r="D36" s="1" t="s">
        <v>107</v>
      </c>
      <c r="E36" s="1" t="s">
        <v>108</v>
      </c>
      <c r="F36" s="1" t="s">
        <v>109</v>
      </c>
      <c r="G36" s="1" t="s">
        <v>19</v>
      </c>
      <c r="H36" s="1" t="s">
        <v>110</v>
      </c>
      <c r="I36" s="1" t="s">
        <v>111</v>
      </c>
      <c r="J36" s="1" t="str">
        <f t="shared" si="1"/>
        <v>Non-Compliant</v>
      </c>
      <c r="K36" s="1" t="str">
        <f t="shared" si="2"/>
        <v>Non-Incentive</v>
      </c>
      <c r="L36" s="1" t="str">
        <f t="shared" si="3"/>
        <v>TUG</v>
      </c>
      <c r="M36" s="1">
        <f t="shared" si="4"/>
        <v>3</v>
      </c>
      <c r="N36" s="1">
        <f t="shared" si="5"/>
        <v>2017</v>
      </c>
    </row>
    <row r="37" ht="15.75" customHeight="1">
      <c r="A37" s="1" t="s">
        <v>14</v>
      </c>
      <c r="B37" s="1">
        <v>7692707.0</v>
      </c>
      <c r="C37" s="1" t="s">
        <v>82</v>
      </c>
      <c r="D37" s="1" t="s">
        <v>88</v>
      </c>
      <c r="E37" s="1" t="s">
        <v>89</v>
      </c>
      <c r="F37" s="1" t="s">
        <v>90</v>
      </c>
      <c r="G37" s="1" t="s">
        <v>19</v>
      </c>
      <c r="H37" s="1" t="s">
        <v>91</v>
      </c>
      <c r="I37" s="1" t="s">
        <v>92</v>
      </c>
      <c r="J37" s="1" t="str">
        <f t="shared" si="1"/>
        <v>Non-Compliant</v>
      </c>
      <c r="K37" s="1" t="str">
        <f t="shared" si="2"/>
        <v>Non-Incentive</v>
      </c>
      <c r="L37" s="1" t="str">
        <f t="shared" si="3"/>
        <v>TUG</v>
      </c>
      <c r="M37" s="1">
        <f t="shared" si="4"/>
        <v>3</v>
      </c>
      <c r="N37" s="1">
        <f t="shared" si="5"/>
        <v>2017</v>
      </c>
    </row>
    <row r="38" ht="15.75" customHeight="1">
      <c r="A38" s="1" t="s">
        <v>14</v>
      </c>
      <c r="B38" s="1">
        <v>7778178.0</v>
      </c>
      <c r="C38" s="1" t="s">
        <v>126</v>
      </c>
      <c r="D38" s="1" t="s">
        <v>151</v>
      </c>
      <c r="E38" s="1" t="s">
        <v>89</v>
      </c>
      <c r="F38" s="1" t="s">
        <v>152</v>
      </c>
      <c r="G38" s="1" t="s">
        <v>19</v>
      </c>
      <c r="H38" s="1" t="s">
        <v>153</v>
      </c>
      <c r="I38" s="1" t="s">
        <v>32</v>
      </c>
      <c r="J38" s="1" t="str">
        <f t="shared" si="1"/>
        <v>Non-Compliant</v>
      </c>
      <c r="K38" s="1" t="str">
        <f t="shared" si="2"/>
        <v>Non-Incentive</v>
      </c>
      <c r="L38" s="1" t="str">
        <f t="shared" si="3"/>
        <v>TUG</v>
      </c>
      <c r="M38" s="1">
        <f t="shared" si="4"/>
        <v>3</v>
      </c>
      <c r="N38" s="1">
        <f t="shared" si="5"/>
        <v>2017</v>
      </c>
    </row>
    <row r="39" ht="15.75" customHeight="1">
      <c r="A39" s="1" t="s">
        <v>14</v>
      </c>
      <c r="B39" s="1">
        <v>7751210.0</v>
      </c>
      <c r="C39" s="1" t="s">
        <v>112</v>
      </c>
      <c r="D39" s="1" t="s">
        <v>123</v>
      </c>
      <c r="E39" s="1" t="s">
        <v>89</v>
      </c>
      <c r="F39" s="1" t="s">
        <v>124</v>
      </c>
      <c r="G39" s="1" t="s">
        <v>19</v>
      </c>
      <c r="H39" s="1" t="s">
        <v>125</v>
      </c>
      <c r="I39" s="1" t="s">
        <v>32</v>
      </c>
      <c r="J39" s="1" t="str">
        <f t="shared" si="1"/>
        <v>Non-Compliant</v>
      </c>
      <c r="K39" s="1" t="str">
        <f t="shared" si="2"/>
        <v>Non-Incentive</v>
      </c>
      <c r="L39" s="1" t="str">
        <f t="shared" si="3"/>
        <v>TUG</v>
      </c>
      <c r="M39" s="1">
        <f t="shared" si="4"/>
        <v>3</v>
      </c>
      <c r="N39" s="1">
        <f t="shared" si="5"/>
        <v>2017</v>
      </c>
    </row>
    <row r="40" ht="15.75" customHeight="1">
      <c r="A40" s="1" t="s">
        <v>14</v>
      </c>
      <c r="B40" s="1">
        <v>1223298.0</v>
      </c>
      <c r="C40" s="1" t="s">
        <v>1320</v>
      </c>
      <c r="D40" s="1" t="s">
        <v>1331</v>
      </c>
      <c r="E40" s="1" t="s">
        <v>1332</v>
      </c>
      <c r="F40" s="1" t="s">
        <v>1333</v>
      </c>
      <c r="G40" s="1" t="s">
        <v>37</v>
      </c>
      <c r="H40" s="1" t="s">
        <v>1334</v>
      </c>
      <c r="I40" s="1" t="s">
        <v>32</v>
      </c>
      <c r="J40" s="1" t="str">
        <f t="shared" si="1"/>
        <v>Non-Compliant</v>
      </c>
      <c r="K40" s="1" t="str">
        <f t="shared" si="2"/>
        <v>Non-Incentive</v>
      </c>
      <c r="L40" s="1" t="str">
        <f t="shared" si="3"/>
        <v>TUG</v>
      </c>
      <c r="M40" s="1">
        <f t="shared" si="4"/>
        <v>3</v>
      </c>
      <c r="N40" s="1">
        <f t="shared" si="5"/>
        <v>2017</v>
      </c>
    </row>
    <row r="41" ht="15.75" customHeight="1">
      <c r="A41" s="1" t="s">
        <v>14</v>
      </c>
      <c r="B41" s="1">
        <v>1223301.0</v>
      </c>
      <c r="C41" s="1" t="s">
        <v>1320</v>
      </c>
      <c r="D41" s="1" t="s">
        <v>1335</v>
      </c>
      <c r="E41" s="1" t="s">
        <v>1332</v>
      </c>
      <c r="F41" s="1" t="s">
        <v>1333</v>
      </c>
      <c r="G41" s="1" t="s">
        <v>37</v>
      </c>
      <c r="H41" s="1" t="s">
        <v>1336</v>
      </c>
      <c r="I41" s="1" t="s">
        <v>32</v>
      </c>
      <c r="J41" s="1" t="str">
        <f t="shared" si="1"/>
        <v>Non-Compliant</v>
      </c>
      <c r="K41" s="1" t="str">
        <f t="shared" si="2"/>
        <v>Non-Incentive</v>
      </c>
      <c r="L41" s="1" t="str">
        <f t="shared" si="3"/>
        <v>TUG</v>
      </c>
      <c r="M41" s="1">
        <f t="shared" si="4"/>
        <v>3</v>
      </c>
      <c r="N41" s="1">
        <f t="shared" si="5"/>
        <v>2017</v>
      </c>
    </row>
    <row r="42" ht="15.75" customHeight="1">
      <c r="A42" s="1" t="s">
        <v>14</v>
      </c>
      <c r="B42" s="1">
        <v>1255601.0</v>
      </c>
      <c r="C42" s="1" t="s">
        <v>1342</v>
      </c>
      <c r="D42" s="1" t="s">
        <v>1375</v>
      </c>
      <c r="E42" s="1" t="s">
        <v>1370</v>
      </c>
      <c r="F42" s="1" t="s">
        <v>1376</v>
      </c>
      <c r="G42" s="1" t="s">
        <v>19</v>
      </c>
      <c r="H42" s="1" t="s">
        <v>1377</v>
      </c>
      <c r="I42" s="1" t="s">
        <v>1378</v>
      </c>
      <c r="J42" s="1" t="str">
        <f t="shared" si="1"/>
        <v>Non-Compliant</v>
      </c>
      <c r="K42" s="1" t="str">
        <f t="shared" si="2"/>
        <v>Non-Incentive</v>
      </c>
      <c r="L42" s="1" t="str">
        <f t="shared" si="3"/>
        <v>TUG</v>
      </c>
      <c r="M42" s="1">
        <f t="shared" si="4"/>
        <v>3</v>
      </c>
      <c r="N42" s="1">
        <f t="shared" si="5"/>
        <v>2017</v>
      </c>
    </row>
    <row r="43" ht="15.75" customHeight="1">
      <c r="A43" s="1" t="s">
        <v>14</v>
      </c>
      <c r="B43" s="1">
        <v>1254838.0</v>
      </c>
      <c r="C43" s="1" t="s">
        <v>1342</v>
      </c>
      <c r="D43" s="1" t="s">
        <v>1369</v>
      </c>
      <c r="E43" s="1" t="s">
        <v>1370</v>
      </c>
      <c r="F43" s="1" t="s">
        <v>1371</v>
      </c>
      <c r="G43" s="1" t="s">
        <v>1372</v>
      </c>
      <c r="H43" s="1" t="s">
        <v>1373</v>
      </c>
      <c r="I43" s="1" t="s">
        <v>1374</v>
      </c>
      <c r="J43" s="1" t="str">
        <f t="shared" si="1"/>
        <v>Non-Compliant</v>
      </c>
      <c r="K43" s="1" t="str">
        <f t="shared" si="2"/>
        <v>Non-Incentive</v>
      </c>
      <c r="L43" s="1" t="str">
        <f t="shared" si="3"/>
        <v>TUG</v>
      </c>
      <c r="M43" s="1">
        <f t="shared" si="4"/>
        <v>3</v>
      </c>
      <c r="N43" s="1">
        <f t="shared" si="5"/>
        <v>2017</v>
      </c>
    </row>
    <row r="44" ht="15.75" customHeight="1">
      <c r="A44" s="1" t="s">
        <v>14</v>
      </c>
      <c r="B44" s="1">
        <v>1269121.0</v>
      </c>
      <c r="C44" s="1" t="s">
        <v>1379</v>
      </c>
      <c r="D44" s="1" t="s">
        <v>1380</v>
      </c>
      <c r="E44" s="1" t="s">
        <v>1370</v>
      </c>
      <c r="F44" s="1" t="s">
        <v>1381</v>
      </c>
      <c r="G44" s="1" t="s">
        <v>19</v>
      </c>
      <c r="H44" s="1" t="s">
        <v>1382</v>
      </c>
      <c r="I44" s="1" t="s">
        <v>1383</v>
      </c>
      <c r="J44" s="1" t="str">
        <f t="shared" si="1"/>
        <v>Non-Compliant</v>
      </c>
      <c r="K44" s="1" t="str">
        <f t="shared" si="2"/>
        <v>Non-Incentive</v>
      </c>
      <c r="L44" s="1" t="str">
        <f t="shared" si="3"/>
        <v>TUG</v>
      </c>
      <c r="M44" s="1">
        <f t="shared" si="4"/>
        <v>3</v>
      </c>
      <c r="N44" s="1">
        <f t="shared" si="5"/>
        <v>2017</v>
      </c>
    </row>
    <row r="45" ht="15.75" customHeight="1">
      <c r="A45" s="1" t="s">
        <v>14</v>
      </c>
      <c r="B45" s="1">
        <v>1235474.0</v>
      </c>
      <c r="C45" s="1" t="s">
        <v>1342</v>
      </c>
      <c r="D45" s="1" t="s">
        <v>1343</v>
      </c>
      <c r="E45" s="1" t="s">
        <v>1344</v>
      </c>
      <c r="F45" s="1" t="s">
        <v>1345</v>
      </c>
      <c r="G45" s="1" t="s">
        <v>19</v>
      </c>
      <c r="H45" s="1" t="s">
        <v>1346</v>
      </c>
      <c r="I45" s="1" t="s">
        <v>1347</v>
      </c>
      <c r="J45" s="1" t="str">
        <f t="shared" si="1"/>
        <v>Non-Compliant</v>
      </c>
      <c r="K45" s="1" t="str">
        <f t="shared" si="2"/>
        <v>Non-Incentive</v>
      </c>
      <c r="L45" s="1" t="str">
        <f t="shared" si="3"/>
        <v>TUG</v>
      </c>
      <c r="M45" s="1">
        <f t="shared" si="4"/>
        <v>3</v>
      </c>
      <c r="N45" s="1">
        <f t="shared" si="5"/>
        <v>2017</v>
      </c>
    </row>
    <row r="46" ht="15.75" customHeight="1">
      <c r="A46" s="1" t="s">
        <v>14</v>
      </c>
      <c r="B46" s="1">
        <v>1220745.0</v>
      </c>
      <c r="C46" s="1" t="s">
        <v>1320</v>
      </c>
      <c r="D46" s="1" t="s">
        <v>1326</v>
      </c>
      <c r="E46" s="1" t="s">
        <v>1327</v>
      </c>
      <c r="F46" s="1" t="s">
        <v>1328</v>
      </c>
      <c r="G46" s="1" t="s">
        <v>19</v>
      </c>
      <c r="H46" s="1" t="s">
        <v>1329</v>
      </c>
      <c r="I46" s="1" t="s">
        <v>1330</v>
      </c>
      <c r="J46" s="1" t="str">
        <f t="shared" si="1"/>
        <v>Non-Compliant</v>
      </c>
      <c r="K46" s="1" t="str">
        <f t="shared" si="2"/>
        <v>Non-Incentive</v>
      </c>
      <c r="L46" s="1" t="str">
        <f t="shared" si="3"/>
        <v>TUG</v>
      </c>
      <c r="M46" s="1">
        <f t="shared" si="4"/>
        <v>3</v>
      </c>
      <c r="N46" s="1">
        <f t="shared" si="5"/>
        <v>2017</v>
      </c>
    </row>
    <row r="47" ht="15.75" customHeight="1">
      <c r="A47" s="1" t="s">
        <v>14</v>
      </c>
      <c r="B47" s="1">
        <v>1206147.0</v>
      </c>
      <c r="C47" s="1" t="s">
        <v>1320</v>
      </c>
      <c r="D47" s="1" t="s">
        <v>1321</v>
      </c>
      <c r="E47" s="1" t="s">
        <v>1322</v>
      </c>
      <c r="F47" s="1" t="s">
        <v>1323</v>
      </c>
      <c r="G47" s="1" t="s">
        <v>37</v>
      </c>
      <c r="H47" s="1" t="s">
        <v>1324</v>
      </c>
      <c r="I47" s="1" t="s">
        <v>1325</v>
      </c>
      <c r="J47" s="1" t="str">
        <f t="shared" si="1"/>
        <v>Non-Compliant</v>
      </c>
      <c r="K47" s="1" t="str">
        <f t="shared" si="2"/>
        <v>Non-Incentive</v>
      </c>
      <c r="L47" s="1" t="str">
        <f t="shared" si="3"/>
        <v>TUG</v>
      </c>
      <c r="M47" s="1">
        <f t="shared" si="4"/>
        <v>3</v>
      </c>
      <c r="N47" s="1">
        <f t="shared" si="5"/>
        <v>2017</v>
      </c>
    </row>
    <row r="48" ht="15.75" customHeight="1">
      <c r="A48" s="1" t="s">
        <v>14</v>
      </c>
      <c r="B48" s="1">
        <v>1900474.0</v>
      </c>
      <c r="C48" s="1" t="s">
        <v>1710</v>
      </c>
      <c r="D48" s="1" t="s">
        <v>1714</v>
      </c>
      <c r="E48" s="1" t="s">
        <v>1715</v>
      </c>
      <c r="F48" s="1" t="s">
        <v>1716</v>
      </c>
      <c r="G48" s="1" t="s">
        <v>19</v>
      </c>
      <c r="H48" s="1" t="s">
        <v>1717</v>
      </c>
      <c r="I48" s="1" t="s">
        <v>1718</v>
      </c>
      <c r="J48" s="1" t="str">
        <f t="shared" si="1"/>
        <v>Non-Compliant</v>
      </c>
      <c r="K48" s="1" t="str">
        <f t="shared" si="2"/>
        <v>Non-Incentive</v>
      </c>
      <c r="L48" s="1" t="str">
        <f t="shared" si="3"/>
        <v>TUG</v>
      </c>
      <c r="M48" s="1">
        <f t="shared" si="4"/>
        <v>3</v>
      </c>
      <c r="N48" s="1">
        <f t="shared" si="5"/>
        <v>2017</v>
      </c>
    </row>
    <row r="49" ht="15.75" customHeight="1">
      <c r="A49" s="1" t="s">
        <v>14</v>
      </c>
      <c r="B49" s="1">
        <v>7100605.0</v>
      </c>
      <c r="C49" s="1" t="s">
        <v>15</v>
      </c>
      <c r="D49" s="1" t="s">
        <v>22</v>
      </c>
      <c r="E49" s="1" t="s">
        <v>23</v>
      </c>
      <c r="F49" s="1" t="s">
        <v>24</v>
      </c>
      <c r="G49" s="1" t="s">
        <v>19</v>
      </c>
      <c r="H49" s="1" t="s">
        <v>25</v>
      </c>
      <c r="I49" s="1" t="s">
        <v>26</v>
      </c>
      <c r="J49" s="1" t="str">
        <f t="shared" si="1"/>
        <v>Non-Compliant</v>
      </c>
      <c r="K49" s="1" t="str">
        <f t="shared" si="2"/>
        <v>Non-Incentive</v>
      </c>
      <c r="L49" s="1" t="str">
        <f t="shared" si="3"/>
        <v>TUG</v>
      </c>
      <c r="M49" s="1">
        <f t="shared" si="4"/>
        <v>3</v>
      </c>
      <c r="N49" s="1">
        <f t="shared" si="5"/>
        <v>2017</v>
      </c>
    </row>
    <row r="50" ht="15.75" customHeight="1">
      <c r="A50" s="1" t="s">
        <v>14</v>
      </c>
      <c r="B50" s="1">
        <v>8937407.0</v>
      </c>
      <c r="C50" s="1" t="s">
        <v>867</v>
      </c>
      <c r="D50" s="1" t="s">
        <v>868</v>
      </c>
      <c r="E50" s="1" t="s">
        <v>869</v>
      </c>
      <c r="F50" s="1" t="s">
        <v>870</v>
      </c>
      <c r="G50" s="1" t="s">
        <v>19</v>
      </c>
      <c r="H50" s="1" t="s">
        <v>871</v>
      </c>
      <c r="I50" s="1" t="s">
        <v>872</v>
      </c>
      <c r="J50" s="1" t="str">
        <f t="shared" si="1"/>
        <v>Non-Compliant</v>
      </c>
      <c r="K50" s="1" t="str">
        <f t="shared" si="2"/>
        <v>Non-Incentive</v>
      </c>
      <c r="L50" s="1" t="str">
        <f t="shared" si="3"/>
        <v>TUG</v>
      </c>
      <c r="M50" s="1">
        <f t="shared" si="4"/>
        <v>3</v>
      </c>
      <c r="N50" s="1">
        <f t="shared" si="5"/>
        <v>2017</v>
      </c>
    </row>
    <row r="51" ht="15.75" customHeight="1">
      <c r="A51" s="1" t="s">
        <v>14</v>
      </c>
      <c r="B51" s="1">
        <v>8999430.0</v>
      </c>
      <c r="C51" s="1" t="s">
        <v>906</v>
      </c>
      <c r="D51" s="1" t="s">
        <v>907</v>
      </c>
      <c r="E51" s="1" t="s">
        <v>908</v>
      </c>
      <c r="F51" s="1" t="s">
        <v>909</v>
      </c>
      <c r="G51" s="1" t="s">
        <v>19</v>
      </c>
      <c r="H51" s="1" t="s">
        <v>910</v>
      </c>
      <c r="I51" s="1" t="s">
        <v>911</v>
      </c>
      <c r="J51" s="1" t="str">
        <f t="shared" si="1"/>
        <v>Non-Compliant</v>
      </c>
      <c r="K51" s="1" t="str">
        <f t="shared" si="2"/>
        <v>Non-Incentive</v>
      </c>
      <c r="L51" s="1" t="str">
        <f t="shared" si="3"/>
        <v>TUG</v>
      </c>
      <c r="M51" s="1">
        <f t="shared" si="4"/>
        <v>3</v>
      </c>
      <c r="N51" s="1">
        <f t="shared" si="5"/>
        <v>2017</v>
      </c>
    </row>
    <row r="52" ht="15.75" customHeight="1">
      <c r="A52" s="1" t="s">
        <v>14</v>
      </c>
      <c r="B52" s="1">
        <v>8913772.0</v>
      </c>
      <c r="C52" s="1" t="s">
        <v>841</v>
      </c>
      <c r="D52" s="1" t="s">
        <v>862</v>
      </c>
      <c r="E52" s="1" t="s">
        <v>863</v>
      </c>
      <c r="F52" s="1" t="s">
        <v>864</v>
      </c>
      <c r="G52" s="1" t="s">
        <v>37</v>
      </c>
      <c r="H52" s="1" t="s">
        <v>865</v>
      </c>
      <c r="I52" s="1" t="s">
        <v>866</v>
      </c>
      <c r="J52" s="1" t="str">
        <f t="shared" si="1"/>
        <v>Non-Compliant</v>
      </c>
      <c r="K52" s="1" t="str">
        <f t="shared" si="2"/>
        <v>Non-Incentive</v>
      </c>
      <c r="L52" s="1" t="str">
        <f t="shared" si="3"/>
        <v>TUG</v>
      </c>
      <c r="M52" s="1">
        <f t="shared" si="4"/>
        <v>3</v>
      </c>
      <c r="N52" s="1">
        <f t="shared" si="5"/>
        <v>2017</v>
      </c>
    </row>
    <row r="53" ht="15.75" customHeight="1">
      <c r="A53" s="1" t="s">
        <v>14</v>
      </c>
      <c r="B53" s="1">
        <v>8170873.0</v>
      </c>
      <c r="C53" s="1" t="s">
        <v>386</v>
      </c>
      <c r="D53" s="1" t="s">
        <v>399</v>
      </c>
      <c r="E53" s="1" t="s">
        <v>400</v>
      </c>
      <c r="F53" s="1" t="s">
        <v>401</v>
      </c>
      <c r="G53" s="1" t="s">
        <v>19</v>
      </c>
      <c r="H53" s="1" t="s">
        <v>402</v>
      </c>
      <c r="I53" s="1" t="s">
        <v>378</v>
      </c>
      <c r="J53" s="1" t="str">
        <f t="shared" si="1"/>
        <v>Non-Compliant</v>
      </c>
      <c r="K53" s="1" t="str">
        <f t="shared" si="2"/>
        <v>Non-Incentive</v>
      </c>
      <c r="L53" s="1" t="str">
        <f t="shared" si="3"/>
        <v>TUG</v>
      </c>
      <c r="M53" s="1">
        <f t="shared" si="4"/>
        <v>3</v>
      </c>
      <c r="N53" s="1">
        <f t="shared" si="5"/>
        <v>2017</v>
      </c>
    </row>
    <row r="54" ht="15.75" customHeight="1">
      <c r="A54" s="1" t="s">
        <v>14</v>
      </c>
      <c r="B54" s="1">
        <v>8305029.0</v>
      </c>
      <c r="C54" s="1" t="s">
        <v>495</v>
      </c>
      <c r="D54" s="1" t="s">
        <v>500</v>
      </c>
      <c r="E54" s="1" t="s">
        <v>400</v>
      </c>
      <c r="F54" s="1" t="s">
        <v>501</v>
      </c>
      <c r="G54" s="1" t="s">
        <v>19</v>
      </c>
      <c r="H54" s="1" t="s">
        <v>502</v>
      </c>
      <c r="I54" s="1" t="s">
        <v>503</v>
      </c>
      <c r="J54" s="1" t="str">
        <f t="shared" si="1"/>
        <v>Non-Compliant</v>
      </c>
      <c r="K54" s="1" t="str">
        <f t="shared" si="2"/>
        <v>Non-Incentive</v>
      </c>
      <c r="L54" s="1" t="str">
        <f t="shared" si="3"/>
        <v>TUG</v>
      </c>
      <c r="M54" s="1">
        <f t="shared" si="4"/>
        <v>3</v>
      </c>
      <c r="N54" s="1">
        <f t="shared" si="5"/>
        <v>2017</v>
      </c>
    </row>
    <row r="55" ht="15.75" customHeight="1">
      <c r="A55" s="1" t="s">
        <v>14</v>
      </c>
      <c r="B55" s="1">
        <v>8322996.0</v>
      </c>
      <c r="C55" s="1" t="s">
        <v>504</v>
      </c>
      <c r="D55" s="1" t="s">
        <v>505</v>
      </c>
      <c r="E55" s="1" t="s">
        <v>400</v>
      </c>
      <c r="F55" s="1" t="s">
        <v>506</v>
      </c>
      <c r="G55" s="1" t="s">
        <v>19</v>
      </c>
      <c r="H55" s="1" t="s">
        <v>507</v>
      </c>
      <c r="I55" s="1" t="s">
        <v>508</v>
      </c>
      <c r="J55" s="1" t="str">
        <f t="shared" si="1"/>
        <v>Non-Compliant</v>
      </c>
      <c r="K55" s="1" t="str">
        <f t="shared" si="2"/>
        <v>Non-Incentive</v>
      </c>
      <c r="L55" s="1" t="str">
        <f t="shared" si="3"/>
        <v>TUG</v>
      </c>
      <c r="M55" s="1">
        <f t="shared" si="4"/>
        <v>3</v>
      </c>
      <c r="N55" s="1">
        <f t="shared" si="5"/>
        <v>2017</v>
      </c>
    </row>
    <row r="56" ht="15.75" customHeight="1">
      <c r="A56" s="1" t="s">
        <v>14</v>
      </c>
      <c r="B56" s="1">
        <v>8361009.0</v>
      </c>
      <c r="C56" s="1" t="s">
        <v>538</v>
      </c>
      <c r="D56" s="1" t="s">
        <v>543</v>
      </c>
      <c r="E56" s="1" t="s">
        <v>400</v>
      </c>
      <c r="F56" s="1" t="s">
        <v>506</v>
      </c>
      <c r="G56" s="1" t="s">
        <v>544</v>
      </c>
      <c r="H56" s="1" t="s">
        <v>545</v>
      </c>
      <c r="I56" s="1" t="s">
        <v>508</v>
      </c>
      <c r="J56" s="1" t="str">
        <f t="shared" si="1"/>
        <v>Non-Compliant</v>
      </c>
      <c r="K56" s="1" t="str">
        <f t="shared" si="2"/>
        <v>Non-Incentive</v>
      </c>
      <c r="L56" s="1" t="str">
        <f t="shared" si="3"/>
        <v>TUG</v>
      </c>
      <c r="M56" s="1">
        <f t="shared" si="4"/>
        <v>3</v>
      </c>
      <c r="N56" s="1">
        <f t="shared" si="5"/>
        <v>2017</v>
      </c>
    </row>
    <row r="57" ht="15.75" customHeight="1">
      <c r="A57" s="1" t="s">
        <v>14</v>
      </c>
      <c r="B57" s="1">
        <v>8371290.0</v>
      </c>
      <c r="C57" s="1" t="s">
        <v>538</v>
      </c>
      <c r="D57" s="1" t="s">
        <v>546</v>
      </c>
      <c r="E57" s="1" t="s">
        <v>400</v>
      </c>
      <c r="F57" s="1" t="s">
        <v>547</v>
      </c>
      <c r="G57" s="1" t="s">
        <v>19</v>
      </c>
      <c r="H57" s="1" t="s">
        <v>548</v>
      </c>
      <c r="I57" s="1" t="s">
        <v>549</v>
      </c>
      <c r="J57" s="1" t="str">
        <f t="shared" si="1"/>
        <v>Non-Compliant</v>
      </c>
      <c r="K57" s="1" t="str">
        <f t="shared" si="2"/>
        <v>Non-Incentive</v>
      </c>
      <c r="L57" s="1" t="str">
        <f t="shared" si="3"/>
        <v>TUG</v>
      </c>
      <c r="M57" s="1">
        <f t="shared" si="4"/>
        <v>3</v>
      </c>
      <c r="N57" s="1">
        <f t="shared" si="5"/>
        <v>2017</v>
      </c>
    </row>
    <row r="58" ht="15.75" customHeight="1">
      <c r="A58" s="1" t="s">
        <v>14</v>
      </c>
      <c r="B58" s="1">
        <v>8216744.0</v>
      </c>
      <c r="C58" s="1" t="s">
        <v>415</v>
      </c>
      <c r="D58" s="1" t="s">
        <v>428</v>
      </c>
      <c r="E58" s="1" t="s">
        <v>400</v>
      </c>
      <c r="F58" s="1" t="s">
        <v>429</v>
      </c>
      <c r="G58" s="1" t="s">
        <v>19</v>
      </c>
      <c r="H58" s="1" t="s">
        <v>430</v>
      </c>
      <c r="I58" s="1" t="s">
        <v>431</v>
      </c>
      <c r="J58" s="1" t="str">
        <f t="shared" si="1"/>
        <v>Non-Compliant</v>
      </c>
      <c r="K58" s="1" t="str">
        <f t="shared" si="2"/>
        <v>Non-Incentive</v>
      </c>
      <c r="L58" s="1" t="str">
        <f t="shared" si="3"/>
        <v>TUG</v>
      </c>
      <c r="M58" s="1">
        <f t="shared" si="4"/>
        <v>3</v>
      </c>
      <c r="N58" s="1">
        <f t="shared" si="5"/>
        <v>2017</v>
      </c>
    </row>
    <row r="59" ht="15.75" customHeight="1">
      <c r="A59" s="1" t="s">
        <v>14</v>
      </c>
      <c r="B59" s="1">
        <v>7795473.0</v>
      </c>
      <c r="C59" s="1" t="s">
        <v>159</v>
      </c>
      <c r="D59" s="1" t="s">
        <v>169</v>
      </c>
      <c r="E59" s="1" t="s">
        <v>170</v>
      </c>
      <c r="F59" s="1" t="s">
        <v>171</v>
      </c>
      <c r="G59" s="1" t="s">
        <v>19</v>
      </c>
      <c r="H59" s="1" t="s">
        <v>172</v>
      </c>
      <c r="I59" s="1" t="s">
        <v>173</v>
      </c>
      <c r="J59" s="1" t="str">
        <f t="shared" si="1"/>
        <v>Non-Compliant</v>
      </c>
      <c r="K59" s="1" t="str">
        <f t="shared" si="2"/>
        <v>Non-Incentive</v>
      </c>
      <c r="L59" s="1" t="str">
        <f t="shared" si="3"/>
        <v>TUG</v>
      </c>
      <c r="M59" s="1">
        <f t="shared" si="4"/>
        <v>3</v>
      </c>
      <c r="N59" s="1">
        <f t="shared" si="5"/>
        <v>2017</v>
      </c>
    </row>
    <row r="60" ht="15.75" customHeight="1">
      <c r="A60" s="1" t="s">
        <v>14</v>
      </c>
      <c r="B60" s="1">
        <v>7782282.0</v>
      </c>
      <c r="C60" s="1" t="s">
        <v>126</v>
      </c>
      <c r="D60" s="1" t="s">
        <v>154</v>
      </c>
      <c r="E60" s="1" t="s">
        <v>155</v>
      </c>
      <c r="F60" s="1" t="s">
        <v>156</v>
      </c>
      <c r="G60" s="1" t="s">
        <v>19</v>
      </c>
      <c r="H60" s="1" t="s">
        <v>157</v>
      </c>
      <c r="I60" s="1" t="s">
        <v>158</v>
      </c>
      <c r="J60" s="1" t="str">
        <f t="shared" si="1"/>
        <v>Non-Compliant</v>
      </c>
      <c r="K60" s="1" t="str">
        <f t="shared" si="2"/>
        <v>Non-Incentive</v>
      </c>
      <c r="L60" s="1" t="str">
        <f t="shared" si="3"/>
        <v>TUG</v>
      </c>
      <c r="M60" s="1">
        <f t="shared" si="4"/>
        <v>3</v>
      </c>
      <c r="N60" s="1">
        <f t="shared" si="5"/>
        <v>2017</v>
      </c>
    </row>
    <row r="61" ht="15.75" customHeight="1">
      <c r="A61" s="1" t="s">
        <v>14</v>
      </c>
      <c r="B61" s="1">
        <v>7791798.0</v>
      </c>
      <c r="C61" s="1" t="s">
        <v>159</v>
      </c>
      <c r="D61" s="1" t="s">
        <v>160</v>
      </c>
      <c r="E61" s="1" t="s">
        <v>155</v>
      </c>
      <c r="F61" s="1" t="s">
        <v>161</v>
      </c>
      <c r="G61" s="1" t="s">
        <v>19</v>
      </c>
      <c r="H61" s="1" t="s">
        <v>162</v>
      </c>
      <c r="I61" s="1" t="s">
        <v>163</v>
      </c>
      <c r="J61" s="1" t="str">
        <f t="shared" si="1"/>
        <v>Non-Compliant</v>
      </c>
      <c r="K61" s="1" t="str">
        <f t="shared" si="2"/>
        <v>Non-Incentive</v>
      </c>
      <c r="L61" s="1" t="str">
        <f t="shared" si="3"/>
        <v>TUG</v>
      </c>
      <c r="M61" s="1">
        <f t="shared" si="4"/>
        <v>3</v>
      </c>
      <c r="N61" s="1">
        <f t="shared" si="5"/>
        <v>2017</v>
      </c>
    </row>
    <row r="62" ht="15.75" customHeight="1">
      <c r="A62" s="1" t="s">
        <v>14</v>
      </c>
      <c r="B62" s="1">
        <v>7804407.0</v>
      </c>
      <c r="C62" s="1" t="s">
        <v>159</v>
      </c>
      <c r="D62" s="1" t="s">
        <v>182</v>
      </c>
      <c r="E62" s="1" t="s">
        <v>183</v>
      </c>
      <c r="F62" s="1" t="s">
        <v>184</v>
      </c>
      <c r="G62" s="1" t="s">
        <v>37</v>
      </c>
      <c r="H62" s="1" t="s">
        <v>185</v>
      </c>
      <c r="I62" s="1" t="s">
        <v>186</v>
      </c>
      <c r="J62" s="1" t="str">
        <f t="shared" si="1"/>
        <v>Non-Compliant</v>
      </c>
      <c r="K62" s="1" t="str">
        <f t="shared" si="2"/>
        <v>Non-Incentive</v>
      </c>
      <c r="L62" s="1" t="str">
        <f t="shared" si="3"/>
        <v>TUG</v>
      </c>
      <c r="M62" s="1">
        <f t="shared" si="4"/>
        <v>3</v>
      </c>
      <c r="N62" s="1">
        <f t="shared" si="5"/>
        <v>2017</v>
      </c>
    </row>
    <row r="63" ht="15.75" customHeight="1">
      <c r="A63" s="1" t="s">
        <v>14</v>
      </c>
      <c r="B63" s="1">
        <v>1318294.0</v>
      </c>
      <c r="C63" s="1" t="s">
        <v>1399</v>
      </c>
      <c r="D63" s="1" t="s">
        <v>1412</v>
      </c>
      <c r="E63" s="1" t="s">
        <v>1361</v>
      </c>
      <c r="F63" s="1" t="s">
        <v>1413</v>
      </c>
      <c r="G63" s="1" t="s">
        <v>19</v>
      </c>
      <c r="H63" s="1" t="s">
        <v>1414</v>
      </c>
      <c r="I63" s="1" t="s">
        <v>1415</v>
      </c>
      <c r="J63" s="1" t="str">
        <f t="shared" si="1"/>
        <v>Non-Compliant</v>
      </c>
      <c r="K63" s="1" t="str">
        <f t="shared" si="2"/>
        <v>Non-Incentive</v>
      </c>
      <c r="L63" s="1" t="str">
        <f t="shared" si="3"/>
        <v>TUG</v>
      </c>
      <c r="M63" s="1">
        <f t="shared" si="4"/>
        <v>3</v>
      </c>
      <c r="N63" s="1">
        <f t="shared" si="5"/>
        <v>2017</v>
      </c>
    </row>
    <row r="64" ht="15.75" customHeight="1">
      <c r="A64" s="1" t="s">
        <v>14</v>
      </c>
      <c r="B64" s="1">
        <v>1252402.0</v>
      </c>
      <c r="C64" s="1" t="s">
        <v>1342</v>
      </c>
      <c r="D64" s="1" t="s">
        <v>1360</v>
      </c>
      <c r="E64" s="1" t="s">
        <v>1361</v>
      </c>
      <c r="F64" s="1" t="s">
        <v>1362</v>
      </c>
      <c r="G64" s="1" t="s">
        <v>19</v>
      </c>
      <c r="H64" s="1" t="s">
        <v>1363</v>
      </c>
      <c r="I64" s="1" t="s">
        <v>1364</v>
      </c>
      <c r="J64" s="1" t="str">
        <f t="shared" si="1"/>
        <v>Non-Compliant</v>
      </c>
      <c r="K64" s="1" t="str">
        <f t="shared" si="2"/>
        <v>Non-Incentive</v>
      </c>
      <c r="L64" s="1" t="str">
        <f t="shared" si="3"/>
        <v>TUG</v>
      </c>
      <c r="M64" s="1">
        <f t="shared" si="4"/>
        <v>3</v>
      </c>
      <c r="N64" s="1">
        <f t="shared" si="5"/>
        <v>2017</v>
      </c>
    </row>
    <row r="65" ht="15.75" customHeight="1">
      <c r="A65" s="1" t="s">
        <v>14</v>
      </c>
      <c r="B65" s="1">
        <v>1254519.0</v>
      </c>
      <c r="C65" s="1" t="s">
        <v>1342</v>
      </c>
      <c r="D65" s="1" t="s">
        <v>1365</v>
      </c>
      <c r="E65" s="1" t="s">
        <v>1366</v>
      </c>
      <c r="F65" s="1" t="s">
        <v>1362</v>
      </c>
      <c r="G65" s="1" t="s">
        <v>19</v>
      </c>
      <c r="H65" s="1" t="s">
        <v>1367</v>
      </c>
      <c r="I65" s="1" t="s">
        <v>1368</v>
      </c>
      <c r="J65" s="1" t="str">
        <f t="shared" si="1"/>
        <v>Non-Compliant</v>
      </c>
      <c r="K65" s="1" t="str">
        <f t="shared" si="2"/>
        <v>Non-Incentive</v>
      </c>
      <c r="L65" s="1" t="str">
        <f t="shared" si="3"/>
        <v>TUG</v>
      </c>
      <c r="M65" s="1">
        <f t="shared" si="4"/>
        <v>3</v>
      </c>
      <c r="N65" s="1">
        <f t="shared" si="5"/>
        <v>2017</v>
      </c>
    </row>
    <row r="66" ht="15.75" customHeight="1">
      <c r="A66" s="1" t="s">
        <v>14</v>
      </c>
      <c r="B66" s="1">
        <v>1904114.0</v>
      </c>
      <c r="C66" s="1" t="s">
        <v>1710</v>
      </c>
      <c r="D66" s="1" t="s">
        <v>1719</v>
      </c>
      <c r="E66" s="1" t="s">
        <v>1720</v>
      </c>
      <c r="F66" s="1" t="s">
        <v>1721</v>
      </c>
      <c r="G66" s="1" t="s">
        <v>19</v>
      </c>
      <c r="H66" s="1" t="s">
        <v>1722</v>
      </c>
      <c r="I66" s="1" t="s">
        <v>1723</v>
      </c>
      <c r="J66" s="1" t="str">
        <f t="shared" si="1"/>
        <v>Non-Compliant</v>
      </c>
      <c r="K66" s="1" t="str">
        <f t="shared" si="2"/>
        <v>Non-Incentive</v>
      </c>
      <c r="L66" s="1" t="str">
        <f t="shared" si="3"/>
        <v>TUG</v>
      </c>
      <c r="M66" s="1">
        <f t="shared" si="4"/>
        <v>3</v>
      </c>
      <c r="N66" s="1">
        <f t="shared" si="5"/>
        <v>2017</v>
      </c>
    </row>
    <row r="67" ht="15.75" customHeight="1">
      <c r="A67" s="1" t="s">
        <v>14</v>
      </c>
      <c r="B67" s="1">
        <v>1899578.0</v>
      </c>
      <c r="C67" s="1" t="s">
        <v>1710</v>
      </c>
      <c r="D67" s="1" t="s">
        <v>1711</v>
      </c>
      <c r="E67" s="1" t="s">
        <v>1712</v>
      </c>
      <c r="F67" s="1" t="s">
        <v>1674</v>
      </c>
      <c r="G67" s="1" t="s">
        <v>37</v>
      </c>
      <c r="H67" s="1" t="s">
        <v>1713</v>
      </c>
      <c r="I67" s="1" t="s">
        <v>1676</v>
      </c>
      <c r="J67" s="1" t="str">
        <f t="shared" si="1"/>
        <v>Non-Compliant</v>
      </c>
      <c r="K67" s="1" t="str">
        <f t="shared" si="2"/>
        <v>Non-Incentive</v>
      </c>
      <c r="L67" s="1" t="str">
        <f t="shared" si="3"/>
        <v>TUG</v>
      </c>
      <c r="M67" s="1">
        <f t="shared" si="4"/>
        <v>3</v>
      </c>
      <c r="N67" s="1">
        <f t="shared" si="5"/>
        <v>2017</v>
      </c>
    </row>
    <row r="68" ht="15.75" customHeight="1">
      <c r="A68" s="1" t="s">
        <v>14</v>
      </c>
      <c r="B68" s="1">
        <v>9029616.0</v>
      </c>
      <c r="C68" s="1" t="s">
        <v>923</v>
      </c>
      <c r="D68" s="1" t="s">
        <v>924</v>
      </c>
      <c r="E68" s="1" t="s">
        <v>925</v>
      </c>
      <c r="F68" s="1" t="s">
        <v>926</v>
      </c>
      <c r="G68" s="1" t="s">
        <v>19</v>
      </c>
      <c r="H68" s="1" t="s">
        <v>927</v>
      </c>
      <c r="I68" s="1" t="s">
        <v>928</v>
      </c>
      <c r="J68" s="1" t="str">
        <f t="shared" si="1"/>
        <v>Non-Compliant</v>
      </c>
      <c r="K68" s="1" t="str">
        <f t="shared" si="2"/>
        <v>Non-Incentive</v>
      </c>
      <c r="L68" s="1" t="str">
        <f t="shared" si="3"/>
        <v>TUG</v>
      </c>
      <c r="M68" s="1">
        <f t="shared" si="4"/>
        <v>3</v>
      </c>
      <c r="N68" s="1">
        <f t="shared" si="5"/>
        <v>2017</v>
      </c>
    </row>
    <row r="69" ht="15.75" customHeight="1">
      <c r="A69" s="1" t="s">
        <v>14</v>
      </c>
      <c r="B69" s="1">
        <v>9049883.0</v>
      </c>
      <c r="C69" s="1" t="s">
        <v>923</v>
      </c>
      <c r="D69" s="1" t="s">
        <v>929</v>
      </c>
      <c r="E69" s="1" t="s">
        <v>930</v>
      </c>
      <c r="F69" s="1" t="s">
        <v>931</v>
      </c>
      <c r="G69" s="1" t="s">
        <v>37</v>
      </c>
      <c r="H69" s="1" t="s">
        <v>932</v>
      </c>
      <c r="I69" s="1" t="s">
        <v>933</v>
      </c>
      <c r="J69" s="1" t="str">
        <f t="shared" si="1"/>
        <v>Non-Compliant</v>
      </c>
      <c r="K69" s="1" t="str">
        <f t="shared" si="2"/>
        <v>Non-Incentive</v>
      </c>
      <c r="L69" s="1" t="str">
        <f t="shared" si="3"/>
        <v>TUG</v>
      </c>
      <c r="M69" s="1">
        <f t="shared" si="4"/>
        <v>3</v>
      </c>
      <c r="N69" s="1">
        <f t="shared" si="5"/>
        <v>2017</v>
      </c>
    </row>
    <row r="70" ht="15.75" customHeight="1">
      <c r="A70" s="1" t="s">
        <v>14</v>
      </c>
      <c r="B70" s="1">
        <v>8424711.0</v>
      </c>
      <c r="C70" s="1" t="s">
        <v>571</v>
      </c>
      <c r="D70" s="1" t="s">
        <v>576</v>
      </c>
      <c r="E70" s="1" t="s">
        <v>529</v>
      </c>
      <c r="F70" s="1" t="s">
        <v>577</v>
      </c>
      <c r="G70" s="1" t="s">
        <v>19</v>
      </c>
      <c r="H70" s="1" t="s">
        <v>578</v>
      </c>
      <c r="I70" s="1" t="s">
        <v>579</v>
      </c>
      <c r="J70" s="1" t="str">
        <f t="shared" si="1"/>
        <v>Non-Compliant</v>
      </c>
      <c r="K70" s="1" t="str">
        <f t="shared" si="2"/>
        <v>Non-Incentive</v>
      </c>
      <c r="L70" s="1" t="str">
        <f t="shared" si="3"/>
        <v>TUG</v>
      </c>
      <c r="M70" s="1">
        <f t="shared" si="4"/>
        <v>3</v>
      </c>
      <c r="N70" s="1">
        <f t="shared" si="5"/>
        <v>2017</v>
      </c>
    </row>
    <row r="71" ht="15.75" customHeight="1">
      <c r="A71" s="1" t="s">
        <v>14</v>
      </c>
      <c r="B71" s="1">
        <v>8439422.0</v>
      </c>
      <c r="C71" s="1" t="s">
        <v>571</v>
      </c>
      <c r="D71" s="1" t="s">
        <v>592</v>
      </c>
      <c r="E71" s="1" t="s">
        <v>529</v>
      </c>
      <c r="F71" s="1" t="s">
        <v>593</v>
      </c>
      <c r="G71" s="1" t="s">
        <v>594</v>
      </c>
      <c r="H71" s="1" t="s">
        <v>595</v>
      </c>
      <c r="I71" s="1" t="s">
        <v>589</v>
      </c>
      <c r="J71" s="1" t="str">
        <f t="shared" si="1"/>
        <v>Non-Compliant</v>
      </c>
      <c r="K71" s="1" t="str">
        <f t="shared" si="2"/>
        <v>Non-Incentive</v>
      </c>
      <c r="L71" s="1" t="str">
        <f t="shared" si="3"/>
        <v>TUG</v>
      </c>
      <c r="M71" s="1">
        <f t="shared" si="4"/>
        <v>3</v>
      </c>
      <c r="N71" s="1">
        <f t="shared" si="5"/>
        <v>2017</v>
      </c>
    </row>
    <row r="72" ht="15.75" customHeight="1">
      <c r="A72" s="1" t="s">
        <v>14</v>
      </c>
      <c r="B72" s="1">
        <v>8338839.0</v>
      </c>
      <c r="C72" s="1" t="s">
        <v>504</v>
      </c>
      <c r="D72" s="1" t="s">
        <v>528</v>
      </c>
      <c r="E72" s="1" t="s">
        <v>529</v>
      </c>
      <c r="F72" s="1" t="s">
        <v>530</v>
      </c>
      <c r="G72" s="1" t="s">
        <v>19</v>
      </c>
      <c r="H72" s="1" t="s">
        <v>531</v>
      </c>
      <c r="I72" s="1" t="s">
        <v>532</v>
      </c>
      <c r="J72" s="1" t="str">
        <f t="shared" si="1"/>
        <v>Non-Compliant</v>
      </c>
      <c r="K72" s="1" t="str">
        <f t="shared" si="2"/>
        <v>Non-Incentive</v>
      </c>
      <c r="L72" s="1" t="str">
        <f t="shared" si="3"/>
        <v>TUG</v>
      </c>
      <c r="M72" s="1">
        <f t="shared" si="4"/>
        <v>3</v>
      </c>
      <c r="N72" s="1">
        <f t="shared" si="5"/>
        <v>2017</v>
      </c>
    </row>
    <row r="73" ht="15.75" customHeight="1">
      <c r="A73" s="1" t="s">
        <v>14</v>
      </c>
      <c r="B73" s="1">
        <v>8395136.0</v>
      </c>
      <c r="C73" s="1" t="s">
        <v>554</v>
      </c>
      <c r="D73" s="1" t="s">
        <v>555</v>
      </c>
      <c r="E73" s="1" t="s">
        <v>524</v>
      </c>
      <c r="F73" s="1" t="s">
        <v>556</v>
      </c>
      <c r="G73" s="1" t="s">
        <v>19</v>
      </c>
      <c r="H73" s="1" t="s">
        <v>557</v>
      </c>
      <c r="I73" s="1" t="s">
        <v>558</v>
      </c>
      <c r="J73" s="1" t="str">
        <f t="shared" si="1"/>
        <v>Non-Compliant</v>
      </c>
      <c r="K73" s="1" t="str">
        <f t="shared" si="2"/>
        <v>Non-Incentive</v>
      </c>
      <c r="L73" s="1" t="str">
        <f t="shared" si="3"/>
        <v>TUG</v>
      </c>
      <c r="M73" s="1">
        <f t="shared" si="4"/>
        <v>3</v>
      </c>
      <c r="N73" s="1">
        <f t="shared" si="5"/>
        <v>2017</v>
      </c>
    </row>
    <row r="74" ht="15.75" customHeight="1">
      <c r="A74" s="1" t="s">
        <v>14</v>
      </c>
      <c r="B74" s="1">
        <v>8338807.0</v>
      </c>
      <c r="C74" s="1" t="s">
        <v>504</v>
      </c>
      <c r="D74" s="1" t="s">
        <v>523</v>
      </c>
      <c r="E74" s="1" t="s">
        <v>524</v>
      </c>
      <c r="F74" s="1" t="s">
        <v>525</v>
      </c>
      <c r="G74" s="1" t="s">
        <v>37</v>
      </c>
      <c r="H74" s="1" t="s">
        <v>526</v>
      </c>
      <c r="I74" s="1" t="s">
        <v>527</v>
      </c>
      <c r="J74" s="1" t="str">
        <f t="shared" si="1"/>
        <v>Non-Compliant</v>
      </c>
      <c r="K74" s="1" t="str">
        <f t="shared" si="2"/>
        <v>Non-Incentive</v>
      </c>
      <c r="L74" s="1" t="str">
        <f t="shared" si="3"/>
        <v>TUG</v>
      </c>
      <c r="M74" s="1">
        <f t="shared" si="4"/>
        <v>3</v>
      </c>
      <c r="N74" s="1">
        <f t="shared" si="5"/>
        <v>2017</v>
      </c>
    </row>
    <row r="75" ht="15.75" customHeight="1">
      <c r="A75" s="1" t="s">
        <v>14</v>
      </c>
      <c r="B75" s="1">
        <v>8424214.0</v>
      </c>
      <c r="C75" s="1" t="s">
        <v>571</v>
      </c>
      <c r="D75" s="1" t="s">
        <v>572</v>
      </c>
      <c r="E75" s="1" t="s">
        <v>524</v>
      </c>
      <c r="F75" s="1" t="s">
        <v>573</v>
      </c>
      <c r="G75" s="1" t="s">
        <v>37</v>
      </c>
      <c r="H75" s="1" t="s">
        <v>574</v>
      </c>
      <c r="I75" s="1" t="s">
        <v>575</v>
      </c>
      <c r="J75" s="1" t="str">
        <f t="shared" si="1"/>
        <v>Non-Compliant</v>
      </c>
      <c r="K75" s="1" t="str">
        <f t="shared" si="2"/>
        <v>Non-Incentive</v>
      </c>
      <c r="L75" s="1" t="str">
        <f t="shared" si="3"/>
        <v>TUG</v>
      </c>
      <c r="M75" s="1">
        <f t="shared" si="4"/>
        <v>3</v>
      </c>
      <c r="N75" s="1">
        <f t="shared" si="5"/>
        <v>2017</v>
      </c>
    </row>
    <row r="76" ht="15.75" customHeight="1">
      <c r="A76" s="1" t="s">
        <v>14</v>
      </c>
      <c r="B76" s="1">
        <v>1223387.0</v>
      </c>
      <c r="C76" s="1" t="s">
        <v>1320</v>
      </c>
      <c r="D76" s="1" t="s">
        <v>1337</v>
      </c>
      <c r="E76" s="1" t="s">
        <v>1338</v>
      </c>
      <c r="F76" s="1" t="s">
        <v>1339</v>
      </c>
      <c r="G76" s="1" t="s">
        <v>19</v>
      </c>
      <c r="H76" s="1" t="s">
        <v>1340</v>
      </c>
      <c r="I76" s="1" t="s">
        <v>1341</v>
      </c>
      <c r="J76" s="1" t="str">
        <f t="shared" si="1"/>
        <v>Non-Compliant</v>
      </c>
      <c r="K76" s="1" t="str">
        <f t="shared" si="2"/>
        <v>Non-Incentive</v>
      </c>
      <c r="L76" s="1" t="str">
        <f t="shared" si="3"/>
        <v>TUG</v>
      </c>
      <c r="M76" s="1">
        <f t="shared" si="4"/>
        <v>3</v>
      </c>
      <c r="N76" s="1">
        <f t="shared" si="5"/>
        <v>2017</v>
      </c>
    </row>
    <row r="77" ht="15.75" customHeight="1">
      <c r="A77" s="1" t="s">
        <v>14</v>
      </c>
      <c r="B77" s="1">
        <v>1323400.0</v>
      </c>
      <c r="C77" s="1" t="s">
        <v>1399</v>
      </c>
      <c r="D77" s="1" t="s">
        <v>1416</v>
      </c>
      <c r="E77" s="1" t="s">
        <v>1417</v>
      </c>
      <c r="F77" s="1" t="s">
        <v>1418</v>
      </c>
      <c r="G77" s="1" t="s">
        <v>19</v>
      </c>
      <c r="H77" s="1" t="s">
        <v>1419</v>
      </c>
      <c r="I77" s="1" t="s">
        <v>1420</v>
      </c>
      <c r="J77" s="1" t="str">
        <f t="shared" si="1"/>
        <v>Non-Compliant</v>
      </c>
      <c r="K77" s="1" t="str">
        <f t="shared" si="2"/>
        <v>Non-Incentive</v>
      </c>
      <c r="L77" s="1" t="str">
        <f t="shared" si="3"/>
        <v>TUG</v>
      </c>
      <c r="M77" s="1">
        <f t="shared" si="4"/>
        <v>3</v>
      </c>
      <c r="N77" s="1">
        <f t="shared" si="5"/>
        <v>2017</v>
      </c>
    </row>
    <row r="78" ht="15.75" customHeight="1">
      <c r="A78" s="1" t="s">
        <v>14</v>
      </c>
      <c r="B78" s="1">
        <v>1310855.0</v>
      </c>
      <c r="C78" s="1" t="s">
        <v>1399</v>
      </c>
      <c r="D78" s="1" t="s">
        <v>1400</v>
      </c>
      <c r="E78" s="1" t="s">
        <v>1401</v>
      </c>
      <c r="F78" s="1" t="s">
        <v>1402</v>
      </c>
      <c r="G78" s="1" t="s">
        <v>37</v>
      </c>
      <c r="H78" s="1" t="s">
        <v>1403</v>
      </c>
      <c r="I78" s="1" t="s">
        <v>1404</v>
      </c>
      <c r="J78" s="1" t="str">
        <f t="shared" si="1"/>
        <v>Non-Compliant</v>
      </c>
      <c r="K78" s="1" t="str">
        <f t="shared" si="2"/>
        <v>Non-Incentive</v>
      </c>
      <c r="L78" s="1" t="str">
        <f t="shared" si="3"/>
        <v>TUG</v>
      </c>
      <c r="M78" s="1">
        <f t="shared" si="4"/>
        <v>3</v>
      </c>
      <c r="N78" s="1">
        <f t="shared" si="5"/>
        <v>2017</v>
      </c>
    </row>
    <row r="79" ht="15.75" customHeight="1">
      <c r="A79" s="1" t="s">
        <v>14</v>
      </c>
      <c r="B79" s="1">
        <v>1905542.0</v>
      </c>
      <c r="C79" s="1" t="s">
        <v>1710</v>
      </c>
      <c r="D79" s="1" t="s">
        <v>1724</v>
      </c>
      <c r="E79" s="1" t="s">
        <v>1725</v>
      </c>
      <c r="F79" s="1" t="s">
        <v>1726</v>
      </c>
      <c r="G79" s="1" t="s">
        <v>19</v>
      </c>
      <c r="H79" s="1" t="s">
        <v>1727</v>
      </c>
      <c r="I79" s="1" t="s">
        <v>1723</v>
      </c>
      <c r="J79" s="1" t="str">
        <f t="shared" si="1"/>
        <v>Non-Compliant</v>
      </c>
      <c r="K79" s="1" t="str">
        <f t="shared" si="2"/>
        <v>Non-Incentive</v>
      </c>
      <c r="L79" s="1" t="str">
        <f t="shared" si="3"/>
        <v>TUG</v>
      </c>
      <c r="M79" s="1">
        <f t="shared" si="4"/>
        <v>3</v>
      </c>
      <c r="N79" s="1">
        <f t="shared" si="5"/>
        <v>2017</v>
      </c>
    </row>
    <row r="80" ht="15.75" customHeight="1">
      <c r="A80" s="1" t="s">
        <v>14</v>
      </c>
      <c r="B80" s="1">
        <v>9675183.0</v>
      </c>
      <c r="C80" s="1" t="s">
        <v>1145</v>
      </c>
      <c r="D80" s="1" t="s">
        <v>1146</v>
      </c>
      <c r="E80" s="1" t="s">
        <v>1147</v>
      </c>
      <c r="F80" s="1" t="s">
        <v>1148</v>
      </c>
      <c r="G80" s="1" t="s">
        <v>19</v>
      </c>
      <c r="H80" s="1" t="s">
        <v>1149</v>
      </c>
      <c r="I80" s="1" t="s">
        <v>32</v>
      </c>
      <c r="J80" s="1" t="str">
        <f t="shared" si="1"/>
        <v>Non-Compliant</v>
      </c>
      <c r="K80" s="1" t="str">
        <f t="shared" si="2"/>
        <v>Non-Incentive</v>
      </c>
      <c r="L80" s="1" t="str">
        <f t="shared" si="3"/>
        <v>TUG</v>
      </c>
      <c r="M80" s="1">
        <f t="shared" si="4"/>
        <v>3</v>
      </c>
      <c r="N80" s="1">
        <f t="shared" si="5"/>
        <v>2017</v>
      </c>
    </row>
    <row r="81" ht="15.75" customHeight="1">
      <c r="A81" s="1" t="s">
        <v>14</v>
      </c>
      <c r="B81" s="1">
        <v>8964619.0</v>
      </c>
      <c r="C81" s="1" t="s">
        <v>880</v>
      </c>
      <c r="D81" s="1" t="s">
        <v>892</v>
      </c>
      <c r="E81" s="1" t="s">
        <v>893</v>
      </c>
      <c r="F81" s="1" t="s">
        <v>894</v>
      </c>
      <c r="G81" s="1" t="s">
        <v>19</v>
      </c>
      <c r="H81" s="1" t="s">
        <v>895</v>
      </c>
      <c r="I81" s="1" t="s">
        <v>32</v>
      </c>
      <c r="J81" s="1" t="str">
        <f t="shared" si="1"/>
        <v>Non-Compliant</v>
      </c>
      <c r="K81" s="1" t="str">
        <f t="shared" si="2"/>
        <v>Non-Incentive</v>
      </c>
      <c r="L81" s="1" t="str">
        <f t="shared" si="3"/>
        <v>TUG</v>
      </c>
      <c r="M81" s="1">
        <f t="shared" si="4"/>
        <v>3</v>
      </c>
      <c r="N81" s="1">
        <f t="shared" si="5"/>
        <v>2017</v>
      </c>
    </row>
    <row r="82" ht="15.75" customHeight="1">
      <c r="A82" s="1" t="s">
        <v>14</v>
      </c>
      <c r="B82" s="1">
        <v>9096262.0</v>
      </c>
      <c r="C82" s="1" t="s">
        <v>945</v>
      </c>
      <c r="D82" s="1" t="s">
        <v>959</v>
      </c>
      <c r="E82" s="1" t="s">
        <v>893</v>
      </c>
      <c r="F82" s="1" t="s">
        <v>960</v>
      </c>
      <c r="G82" s="1" t="s">
        <v>19</v>
      </c>
      <c r="H82" s="1" t="s">
        <v>961</v>
      </c>
      <c r="I82" s="1" t="s">
        <v>962</v>
      </c>
      <c r="J82" s="1" t="str">
        <f t="shared" si="1"/>
        <v>Non-Compliant</v>
      </c>
      <c r="K82" s="1" t="str">
        <f t="shared" si="2"/>
        <v>Non-Incentive</v>
      </c>
      <c r="L82" s="1" t="str">
        <f t="shared" si="3"/>
        <v>TUG</v>
      </c>
      <c r="M82" s="1">
        <f t="shared" si="4"/>
        <v>3</v>
      </c>
      <c r="N82" s="1">
        <f t="shared" si="5"/>
        <v>2017</v>
      </c>
    </row>
    <row r="83" ht="15.75" customHeight="1">
      <c r="A83" s="1" t="s">
        <v>14</v>
      </c>
      <c r="B83" s="1">
        <v>8967731.0</v>
      </c>
      <c r="C83" s="1" t="s">
        <v>880</v>
      </c>
      <c r="D83" s="1" t="s">
        <v>902</v>
      </c>
      <c r="E83" s="1" t="s">
        <v>888</v>
      </c>
      <c r="F83" s="1" t="s">
        <v>903</v>
      </c>
      <c r="G83" s="1" t="s">
        <v>19</v>
      </c>
      <c r="H83" s="1" t="s">
        <v>904</v>
      </c>
      <c r="I83" s="1" t="s">
        <v>905</v>
      </c>
      <c r="J83" s="1" t="str">
        <f t="shared" si="1"/>
        <v>Non-Compliant</v>
      </c>
      <c r="K83" s="1" t="str">
        <f t="shared" si="2"/>
        <v>Non-Incentive</v>
      </c>
      <c r="L83" s="1" t="str">
        <f t="shared" si="3"/>
        <v>TUG</v>
      </c>
      <c r="M83" s="1">
        <f t="shared" si="4"/>
        <v>3</v>
      </c>
      <c r="N83" s="1">
        <f t="shared" si="5"/>
        <v>2017</v>
      </c>
    </row>
    <row r="84" ht="15.75" customHeight="1">
      <c r="A84" s="1" t="s">
        <v>14</v>
      </c>
      <c r="B84" s="1">
        <v>8961708.0</v>
      </c>
      <c r="C84" s="1" t="s">
        <v>880</v>
      </c>
      <c r="D84" s="1" t="s">
        <v>887</v>
      </c>
      <c r="E84" s="1" t="s">
        <v>888</v>
      </c>
      <c r="F84" s="1" t="s">
        <v>889</v>
      </c>
      <c r="G84" s="1" t="s">
        <v>19</v>
      </c>
      <c r="H84" s="1" t="s">
        <v>890</v>
      </c>
      <c r="I84" s="1" t="s">
        <v>891</v>
      </c>
      <c r="J84" s="1" t="str">
        <f t="shared" si="1"/>
        <v>Non-Compliant</v>
      </c>
      <c r="K84" s="1" t="str">
        <f t="shared" si="2"/>
        <v>Non-Incentive</v>
      </c>
      <c r="L84" s="1" t="str">
        <f t="shared" si="3"/>
        <v>TUG</v>
      </c>
      <c r="M84" s="1">
        <f t="shared" si="4"/>
        <v>3</v>
      </c>
      <c r="N84" s="1">
        <f t="shared" si="5"/>
        <v>2017</v>
      </c>
    </row>
    <row r="85" ht="15.75" customHeight="1">
      <c r="A85" s="1" t="s">
        <v>14</v>
      </c>
      <c r="B85" s="1">
        <v>8966600.0</v>
      </c>
      <c r="C85" s="1" t="s">
        <v>880</v>
      </c>
      <c r="D85" s="1" t="s">
        <v>896</v>
      </c>
      <c r="E85" s="1" t="s">
        <v>897</v>
      </c>
      <c r="F85" s="1" t="s">
        <v>889</v>
      </c>
      <c r="G85" s="1" t="s">
        <v>19</v>
      </c>
      <c r="H85" s="1" t="s">
        <v>898</v>
      </c>
      <c r="I85" s="1" t="s">
        <v>891</v>
      </c>
      <c r="J85" s="1" t="str">
        <f t="shared" si="1"/>
        <v>Non-Compliant</v>
      </c>
      <c r="K85" s="1" t="str">
        <f t="shared" si="2"/>
        <v>Non-Incentive</v>
      </c>
      <c r="L85" s="1" t="str">
        <f t="shared" si="3"/>
        <v>TUG</v>
      </c>
      <c r="M85" s="1">
        <f t="shared" si="4"/>
        <v>3</v>
      </c>
      <c r="N85" s="1">
        <f t="shared" si="5"/>
        <v>2017</v>
      </c>
    </row>
    <row r="86" ht="15.75" customHeight="1">
      <c r="A86" s="1" t="s">
        <v>14</v>
      </c>
      <c r="B86" s="1">
        <v>8466834.0</v>
      </c>
      <c r="C86" s="1" t="s">
        <v>596</v>
      </c>
      <c r="D86" s="1" t="s">
        <v>609</v>
      </c>
      <c r="E86" s="1" t="s">
        <v>534</v>
      </c>
      <c r="F86" s="1" t="s">
        <v>610</v>
      </c>
      <c r="G86" s="1" t="s">
        <v>19</v>
      </c>
      <c r="H86" s="1" t="s">
        <v>611</v>
      </c>
      <c r="I86" s="1" t="s">
        <v>612</v>
      </c>
      <c r="J86" s="1" t="str">
        <f t="shared" si="1"/>
        <v>Non-Compliant</v>
      </c>
      <c r="K86" s="1" t="str">
        <f t="shared" si="2"/>
        <v>Non-Incentive</v>
      </c>
      <c r="L86" s="1" t="str">
        <f t="shared" si="3"/>
        <v>TUG</v>
      </c>
      <c r="M86" s="1">
        <f t="shared" si="4"/>
        <v>3</v>
      </c>
      <c r="N86" s="1">
        <f t="shared" si="5"/>
        <v>2017</v>
      </c>
    </row>
    <row r="87" ht="15.75" customHeight="1">
      <c r="A87" s="1" t="s">
        <v>14</v>
      </c>
      <c r="B87" s="1">
        <v>8439375.0</v>
      </c>
      <c r="C87" s="1" t="s">
        <v>571</v>
      </c>
      <c r="D87" s="1" t="s">
        <v>585</v>
      </c>
      <c r="E87" s="1" t="s">
        <v>534</v>
      </c>
      <c r="F87" s="1" t="s">
        <v>586</v>
      </c>
      <c r="G87" s="1" t="s">
        <v>587</v>
      </c>
      <c r="H87" s="1" t="s">
        <v>588</v>
      </c>
      <c r="I87" s="1" t="s">
        <v>589</v>
      </c>
      <c r="J87" s="1" t="str">
        <f t="shared" si="1"/>
        <v>Non-Compliant</v>
      </c>
      <c r="K87" s="1" t="str">
        <f t="shared" si="2"/>
        <v>Non-Incentive</v>
      </c>
      <c r="L87" s="1" t="str">
        <f t="shared" si="3"/>
        <v>TUG</v>
      </c>
      <c r="M87" s="1">
        <f t="shared" si="4"/>
        <v>3</v>
      </c>
      <c r="N87" s="1">
        <f t="shared" si="5"/>
        <v>2017</v>
      </c>
    </row>
    <row r="88" ht="15.75" customHeight="1">
      <c r="A88" s="1" t="s">
        <v>14</v>
      </c>
      <c r="B88" s="1">
        <v>8439383.0</v>
      </c>
      <c r="C88" s="1" t="s">
        <v>571</v>
      </c>
      <c r="D88" s="1" t="s">
        <v>590</v>
      </c>
      <c r="E88" s="1" t="s">
        <v>534</v>
      </c>
      <c r="F88" s="1" t="s">
        <v>591</v>
      </c>
      <c r="G88" s="1" t="s">
        <v>587</v>
      </c>
      <c r="H88" s="1" t="s">
        <v>588</v>
      </c>
      <c r="I88" s="1" t="s">
        <v>589</v>
      </c>
      <c r="J88" s="1" t="str">
        <f t="shared" si="1"/>
        <v>Non-Compliant</v>
      </c>
      <c r="K88" s="1" t="str">
        <f t="shared" si="2"/>
        <v>Non-Incentive</v>
      </c>
      <c r="L88" s="1" t="str">
        <f t="shared" si="3"/>
        <v>TUG</v>
      </c>
      <c r="M88" s="1">
        <f t="shared" si="4"/>
        <v>3</v>
      </c>
      <c r="N88" s="1">
        <f t="shared" si="5"/>
        <v>2017</v>
      </c>
    </row>
    <row r="89" ht="15.75" customHeight="1">
      <c r="A89" s="1" t="s">
        <v>14</v>
      </c>
      <c r="B89" s="1">
        <v>8340706.0</v>
      </c>
      <c r="C89" s="1" t="s">
        <v>504</v>
      </c>
      <c r="D89" s="1" t="s">
        <v>533</v>
      </c>
      <c r="E89" s="1" t="s">
        <v>534</v>
      </c>
      <c r="F89" s="1" t="s">
        <v>535</v>
      </c>
      <c r="G89" s="1" t="s">
        <v>19</v>
      </c>
      <c r="H89" s="1" t="s">
        <v>536</v>
      </c>
      <c r="I89" s="1" t="s">
        <v>537</v>
      </c>
      <c r="J89" s="1" t="str">
        <f t="shared" si="1"/>
        <v>Non-Compliant</v>
      </c>
      <c r="K89" s="1" t="str">
        <f t="shared" si="2"/>
        <v>Non-Incentive</v>
      </c>
      <c r="L89" s="1" t="str">
        <f t="shared" si="3"/>
        <v>TUG</v>
      </c>
      <c r="M89" s="1">
        <f t="shared" si="4"/>
        <v>3</v>
      </c>
      <c r="N89" s="1">
        <f t="shared" si="5"/>
        <v>2017</v>
      </c>
    </row>
    <row r="90" ht="15.75" customHeight="1">
      <c r="A90" s="1" t="s">
        <v>14</v>
      </c>
      <c r="B90" s="1">
        <v>8395644.0</v>
      </c>
      <c r="C90" s="1" t="s">
        <v>554</v>
      </c>
      <c r="D90" s="1" t="s">
        <v>559</v>
      </c>
      <c r="E90" s="1" t="s">
        <v>534</v>
      </c>
      <c r="F90" s="1" t="s">
        <v>560</v>
      </c>
      <c r="G90" s="1" t="s">
        <v>19</v>
      </c>
      <c r="H90" s="1" t="s">
        <v>561</v>
      </c>
      <c r="I90" s="1" t="s">
        <v>562</v>
      </c>
      <c r="J90" s="1" t="str">
        <f t="shared" si="1"/>
        <v>Non-Compliant</v>
      </c>
      <c r="K90" s="1" t="str">
        <f t="shared" si="2"/>
        <v>Non-Incentive</v>
      </c>
      <c r="L90" s="1" t="str">
        <f t="shared" si="3"/>
        <v>TUG</v>
      </c>
      <c r="M90" s="1">
        <f t="shared" si="4"/>
        <v>3</v>
      </c>
      <c r="N90" s="1">
        <f t="shared" si="5"/>
        <v>2017</v>
      </c>
    </row>
    <row r="91" ht="15.75" customHeight="1">
      <c r="A91" s="1" t="s">
        <v>14</v>
      </c>
      <c r="B91" s="1">
        <v>8462659.0</v>
      </c>
      <c r="C91" s="1" t="s">
        <v>596</v>
      </c>
      <c r="D91" s="1" t="s">
        <v>605</v>
      </c>
      <c r="E91" s="1" t="s">
        <v>606</v>
      </c>
      <c r="F91" s="1" t="s">
        <v>607</v>
      </c>
      <c r="G91" s="1" t="s">
        <v>37</v>
      </c>
      <c r="H91" s="1" t="s">
        <v>608</v>
      </c>
      <c r="I91" s="1" t="s">
        <v>378</v>
      </c>
      <c r="J91" s="1" t="str">
        <f t="shared" si="1"/>
        <v>Non-Compliant</v>
      </c>
      <c r="K91" s="1" t="str">
        <f t="shared" si="2"/>
        <v>Non-Incentive</v>
      </c>
      <c r="L91" s="1" t="str">
        <f t="shared" si="3"/>
        <v>TUG</v>
      </c>
      <c r="M91" s="1">
        <f t="shared" si="4"/>
        <v>3</v>
      </c>
      <c r="N91" s="1">
        <f t="shared" si="5"/>
        <v>2017</v>
      </c>
    </row>
    <row r="92" ht="15.75" customHeight="1">
      <c r="A92" s="1" t="s">
        <v>14</v>
      </c>
      <c r="B92" s="1">
        <v>7826835.0</v>
      </c>
      <c r="C92" s="1" t="s">
        <v>187</v>
      </c>
      <c r="D92" s="1" t="s">
        <v>193</v>
      </c>
      <c r="E92" s="1" t="s">
        <v>194</v>
      </c>
      <c r="F92" s="1" t="s">
        <v>195</v>
      </c>
      <c r="G92" s="1" t="s">
        <v>19</v>
      </c>
      <c r="H92" s="1" t="s">
        <v>196</v>
      </c>
      <c r="I92" s="1" t="s">
        <v>32</v>
      </c>
      <c r="J92" s="1" t="str">
        <f t="shared" si="1"/>
        <v>Non-Compliant</v>
      </c>
      <c r="K92" s="1" t="str">
        <f t="shared" si="2"/>
        <v>Non-Incentive</v>
      </c>
      <c r="L92" s="1" t="str">
        <f t="shared" si="3"/>
        <v>TUG</v>
      </c>
      <c r="M92" s="1">
        <f t="shared" si="4"/>
        <v>3</v>
      </c>
      <c r="N92" s="1">
        <f t="shared" si="5"/>
        <v>2017</v>
      </c>
    </row>
    <row r="93" ht="15.75" customHeight="1">
      <c r="A93" s="1" t="s">
        <v>14</v>
      </c>
      <c r="B93" s="1">
        <v>1341857.0</v>
      </c>
      <c r="C93" s="1" t="s">
        <v>1421</v>
      </c>
      <c r="D93" s="1" t="s">
        <v>1422</v>
      </c>
      <c r="E93" s="1" t="s">
        <v>1423</v>
      </c>
      <c r="F93" s="1" t="s">
        <v>1424</v>
      </c>
      <c r="G93" s="1" t="s">
        <v>1425</v>
      </c>
      <c r="H93" s="1" t="s">
        <v>1426</v>
      </c>
      <c r="I93" s="1" t="s">
        <v>1427</v>
      </c>
      <c r="J93" s="1" t="str">
        <f t="shared" si="1"/>
        <v>Non-Compliant</v>
      </c>
      <c r="K93" s="1" t="str">
        <f t="shared" si="2"/>
        <v>Non-Incentive</v>
      </c>
      <c r="L93" s="1" t="str">
        <f t="shared" si="3"/>
        <v>TUG</v>
      </c>
      <c r="M93" s="1">
        <f t="shared" si="4"/>
        <v>3</v>
      </c>
      <c r="N93" s="1">
        <f t="shared" si="5"/>
        <v>2017</v>
      </c>
    </row>
    <row r="94" ht="15.75" customHeight="1">
      <c r="A94" s="1" t="s">
        <v>14</v>
      </c>
      <c r="B94" s="1">
        <v>1350667.0</v>
      </c>
      <c r="C94" s="1" t="s">
        <v>1421</v>
      </c>
      <c r="D94" s="1" t="s">
        <v>1437</v>
      </c>
      <c r="E94" s="1" t="s">
        <v>1438</v>
      </c>
      <c r="F94" s="1" t="s">
        <v>1439</v>
      </c>
      <c r="G94" s="1" t="s">
        <v>19</v>
      </c>
      <c r="H94" s="1" t="s">
        <v>1440</v>
      </c>
      <c r="I94" s="1" t="s">
        <v>1441</v>
      </c>
      <c r="J94" s="1" t="str">
        <f t="shared" si="1"/>
        <v>Non-Compliant</v>
      </c>
      <c r="K94" s="1" t="str">
        <f t="shared" si="2"/>
        <v>Non-Incentive</v>
      </c>
      <c r="L94" s="1" t="str">
        <f t="shared" si="3"/>
        <v>TUG</v>
      </c>
      <c r="M94" s="1">
        <f t="shared" si="4"/>
        <v>3</v>
      </c>
      <c r="N94" s="1">
        <f t="shared" si="5"/>
        <v>2017</v>
      </c>
    </row>
    <row r="95" ht="15.75" customHeight="1">
      <c r="A95" s="1" t="s">
        <v>14</v>
      </c>
      <c r="B95" s="1">
        <v>1274037.0</v>
      </c>
      <c r="C95" s="1" t="s">
        <v>1379</v>
      </c>
      <c r="D95" s="1" t="s">
        <v>1384</v>
      </c>
      <c r="E95" s="1" t="s">
        <v>1385</v>
      </c>
      <c r="F95" s="1" t="s">
        <v>1386</v>
      </c>
      <c r="G95" s="1" t="s">
        <v>19</v>
      </c>
      <c r="H95" s="1" t="s">
        <v>1387</v>
      </c>
      <c r="I95" s="1" t="s">
        <v>1388</v>
      </c>
      <c r="J95" s="1" t="str">
        <f t="shared" si="1"/>
        <v>Non-Compliant</v>
      </c>
      <c r="K95" s="1" t="str">
        <f t="shared" si="2"/>
        <v>Non-Incentive</v>
      </c>
      <c r="L95" s="1" t="str">
        <f t="shared" si="3"/>
        <v>TUG</v>
      </c>
      <c r="M95" s="1">
        <f t="shared" si="4"/>
        <v>3</v>
      </c>
      <c r="N95" s="1">
        <f t="shared" si="5"/>
        <v>2017</v>
      </c>
    </row>
    <row r="96" ht="15.75" customHeight="1">
      <c r="A96" s="1" t="s">
        <v>14</v>
      </c>
      <c r="B96" s="1">
        <v>1318155.0</v>
      </c>
      <c r="C96" s="1" t="s">
        <v>1399</v>
      </c>
      <c r="D96" s="1" t="s">
        <v>1408</v>
      </c>
      <c r="E96" s="1" t="s">
        <v>1385</v>
      </c>
      <c r="F96" s="1" t="s">
        <v>1409</v>
      </c>
      <c r="G96" s="1" t="s">
        <v>1410</v>
      </c>
      <c r="H96" s="1" t="s">
        <v>1411</v>
      </c>
      <c r="I96" s="1" t="s">
        <v>1393</v>
      </c>
      <c r="J96" s="1" t="str">
        <f t="shared" si="1"/>
        <v>Non-Compliant</v>
      </c>
      <c r="K96" s="1" t="str">
        <f t="shared" si="2"/>
        <v>Non-Incentive</v>
      </c>
      <c r="L96" s="1" t="str">
        <f t="shared" si="3"/>
        <v>TUG</v>
      </c>
      <c r="M96" s="1">
        <f t="shared" si="4"/>
        <v>3</v>
      </c>
      <c r="N96" s="1">
        <f t="shared" si="5"/>
        <v>2017</v>
      </c>
    </row>
    <row r="97" ht="15.75" customHeight="1">
      <c r="A97" s="1" t="s">
        <v>14</v>
      </c>
      <c r="B97" s="1">
        <v>1277877.0</v>
      </c>
      <c r="C97" s="1" t="s">
        <v>1379</v>
      </c>
      <c r="D97" s="1" t="s">
        <v>1389</v>
      </c>
      <c r="E97" s="1" t="s">
        <v>1385</v>
      </c>
      <c r="F97" s="1" t="s">
        <v>1390</v>
      </c>
      <c r="G97" s="1" t="s">
        <v>1391</v>
      </c>
      <c r="H97" s="1" t="s">
        <v>1392</v>
      </c>
      <c r="I97" s="1" t="s">
        <v>1393</v>
      </c>
      <c r="J97" s="1" t="str">
        <f t="shared" si="1"/>
        <v>Non-Compliant</v>
      </c>
      <c r="K97" s="1" t="str">
        <f t="shared" si="2"/>
        <v>Non-Incentive</v>
      </c>
      <c r="L97" s="1" t="str">
        <f t="shared" si="3"/>
        <v>TUG</v>
      </c>
      <c r="M97" s="1">
        <f t="shared" si="4"/>
        <v>3</v>
      </c>
      <c r="N97" s="1">
        <f t="shared" si="5"/>
        <v>2017</v>
      </c>
    </row>
    <row r="98" ht="15.75" customHeight="1">
      <c r="A98" s="1" t="s">
        <v>14</v>
      </c>
      <c r="B98" s="1">
        <v>1317115.0</v>
      </c>
      <c r="C98" s="1" t="s">
        <v>1399</v>
      </c>
      <c r="D98" s="1" t="s">
        <v>1405</v>
      </c>
      <c r="E98" s="1" t="s">
        <v>1385</v>
      </c>
      <c r="F98" s="1" t="s">
        <v>1390</v>
      </c>
      <c r="G98" s="1" t="s">
        <v>1406</v>
      </c>
      <c r="H98" s="1" t="s">
        <v>1407</v>
      </c>
      <c r="I98" s="1" t="s">
        <v>1393</v>
      </c>
      <c r="J98" s="1" t="str">
        <f t="shared" si="1"/>
        <v>Non-Compliant</v>
      </c>
      <c r="K98" s="1" t="str">
        <f t="shared" si="2"/>
        <v>Non-Incentive</v>
      </c>
      <c r="L98" s="1" t="str">
        <f t="shared" si="3"/>
        <v>TUG</v>
      </c>
      <c r="M98" s="1">
        <f t="shared" si="4"/>
        <v>3</v>
      </c>
      <c r="N98" s="1">
        <f t="shared" si="5"/>
        <v>2017</v>
      </c>
    </row>
    <row r="99" ht="15.75" customHeight="1">
      <c r="A99" s="1" t="s">
        <v>14</v>
      </c>
      <c r="B99" s="1">
        <v>1349436.0</v>
      </c>
      <c r="C99" s="1" t="s">
        <v>1421</v>
      </c>
      <c r="D99" s="1" t="s">
        <v>1428</v>
      </c>
      <c r="E99" s="1" t="s">
        <v>1385</v>
      </c>
      <c r="F99" s="1" t="s">
        <v>1429</v>
      </c>
      <c r="G99" s="1" t="s">
        <v>19</v>
      </c>
      <c r="H99" s="1" t="s">
        <v>1430</v>
      </c>
      <c r="I99" s="1" t="s">
        <v>1431</v>
      </c>
      <c r="J99" s="1" t="str">
        <f t="shared" si="1"/>
        <v>Non-Compliant</v>
      </c>
      <c r="K99" s="1" t="str">
        <f t="shared" si="2"/>
        <v>Non-Incentive</v>
      </c>
      <c r="L99" s="1" t="str">
        <f t="shared" si="3"/>
        <v>TUG</v>
      </c>
      <c r="M99" s="1">
        <f t="shared" si="4"/>
        <v>3</v>
      </c>
      <c r="N99" s="1">
        <f t="shared" si="5"/>
        <v>2017</v>
      </c>
    </row>
    <row r="100" ht="15.75" customHeight="1">
      <c r="A100" s="1" t="s">
        <v>14</v>
      </c>
      <c r="B100" s="1">
        <v>1277880.0</v>
      </c>
      <c r="C100" s="1" t="s">
        <v>1379</v>
      </c>
      <c r="D100" s="1" t="s">
        <v>1394</v>
      </c>
      <c r="E100" s="1" t="s">
        <v>1395</v>
      </c>
      <c r="F100" s="1" t="s">
        <v>1390</v>
      </c>
      <c r="G100" s="1" t="s">
        <v>1396</v>
      </c>
      <c r="H100" s="1" t="s">
        <v>1397</v>
      </c>
      <c r="I100" s="1" t="s">
        <v>1393</v>
      </c>
      <c r="J100" s="1" t="str">
        <f t="shared" si="1"/>
        <v>Non-Compliant</v>
      </c>
      <c r="K100" s="1" t="str">
        <f t="shared" si="2"/>
        <v>Non-Incentive</v>
      </c>
      <c r="L100" s="1" t="str">
        <f t="shared" si="3"/>
        <v>TUG</v>
      </c>
      <c r="M100" s="1">
        <f t="shared" si="4"/>
        <v>3</v>
      </c>
      <c r="N100" s="1">
        <f t="shared" si="5"/>
        <v>2017</v>
      </c>
    </row>
    <row r="101" ht="15.75" customHeight="1">
      <c r="A101" s="1" t="s">
        <v>14</v>
      </c>
      <c r="B101" s="1">
        <v>1277951.0</v>
      </c>
      <c r="C101" s="1" t="s">
        <v>1379</v>
      </c>
      <c r="D101" s="1" t="s">
        <v>1398</v>
      </c>
      <c r="E101" s="1" t="s">
        <v>1395</v>
      </c>
      <c r="F101" s="1" t="s">
        <v>1390</v>
      </c>
      <c r="G101" s="1" t="s">
        <v>1396</v>
      </c>
      <c r="H101" s="1" t="s">
        <v>1397</v>
      </c>
      <c r="I101" s="1" t="s">
        <v>1393</v>
      </c>
      <c r="J101" s="1" t="str">
        <f t="shared" si="1"/>
        <v>Non-Compliant</v>
      </c>
      <c r="K101" s="1" t="str">
        <f t="shared" si="2"/>
        <v>Non-Incentive</v>
      </c>
      <c r="L101" s="1" t="str">
        <f t="shared" si="3"/>
        <v>TUG</v>
      </c>
      <c r="M101" s="1">
        <f t="shared" si="4"/>
        <v>3</v>
      </c>
      <c r="N101" s="1">
        <f t="shared" si="5"/>
        <v>2017</v>
      </c>
    </row>
    <row r="102" ht="15.75" customHeight="1">
      <c r="A102" s="1" t="s">
        <v>14</v>
      </c>
      <c r="B102" s="1">
        <v>1381867.0</v>
      </c>
      <c r="C102" s="1" t="s">
        <v>1442</v>
      </c>
      <c r="D102" s="1" t="s">
        <v>1453</v>
      </c>
      <c r="E102" s="1" t="s">
        <v>1395</v>
      </c>
      <c r="F102" s="1" t="s">
        <v>1454</v>
      </c>
      <c r="G102" s="1" t="s">
        <v>37</v>
      </c>
      <c r="H102" s="1" t="s">
        <v>1455</v>
      </c>
      <c r="I102" s="1" t="s">
        <v>1383</v>
      </c>
      <c r="J102" s="1" t="str">
        <f t="shared" si="1"/>
        <v>Non-Compliant</v>
      </c>
      <c r="K102" s="1" t="str">
        <f t="shared" si="2"/>
        <v>Non-Incentive</v>
      </c>
      <c r="L102" s="1" t="str">
        <f t="shared" si="3"/>
        <v>TUG</v>
      </c>
      <c r="M102" s="1">
        <f t="shared" si="4"/>
        <v>3</v>
      </c>
      <c r="N102" s="1">
        <f t="shared" si="5"/>
        <v>2017</v>
      </c>
    </row>
    <row r="103" ht="15.75" customHeight="1">
      <c r="A103" s="1" t="s">
        <v>14</v>
      </c>
      <c r="B103" s="1">
        <v>7183827.0</v>
      </c>
      <c r="C103" s="1" t="s">
        <v>27</v>
      </c>
      <c r="D103" s="1" t="s">
        <v>28</v>
      </c>
      <c r="E103" s="1" t="s">
        <v>29</v>
      </c>
      <c r="F103" s="1" t="s">
        <v>30</v>
      </c>
      <c r="G103" s="1" t="s">
        <v>19</v>
      </c>
      <c r="H103" s="1" t="s">
        <v>31</v>
      </c>
      <c r="I103" s="1" t="s">
        <v>32</v>
      </c>
      <c r="J103" s="1" t="str">
        <f t="shared" si="1"/>
        <v>Non-Compliant</v>
      </c>
      <c r="K103" s="1" t="str">
        <f t="shared" si="2"/>
        <v>Non-Incentive</v>
      </c>
      <c r="L103" s="1" t="str">
        <f t="shared" si="3"/>
        <v>TUG</v>
      </c>
      <c r="M103" s="1">
        <f t="shared" si="4"/>
        <v>3</v>
      </c>
      <c r="N103" s="1">
        <f t="shared" si="5"/>
        <v>2017</v>
      </c>
    </row>
    <row r="104" ht="15.75" customHeight="1">
      <c r="A104" s="1" t="s">
        <v>14</v>
      </c>
      <c r="B104" s="1">
        <v>9687200.0</v>
      </c>
      <c r="C104" s="1" t="s">
        <v>1145</v>
      </c>
      <c r="D104" s="1" t="s">
        <v>1158</v>
      </c>
      <c r="E104" s="1" t="s">
        <v>1135</v>
      </c>
      <c r="F104" s="1" t="s">
        <v>1159</v>
      </c>
      <c r="G104" s="1" t="s">
        <v>1160</v>
      </c>
      <c r="H104" s="1" t="s">
        <v>1161</v>
      </c>
      <c r="I104" s="1" t="s">
        <v>32</v>
      </c>
      <c r="J104" s="1" t="str">
        <f t="shared" si="1"/>
        <v>Non-Compliant</v>
      </c>
      <c r="K104" s="1" t="str">
        <f t="shared" si="2"/>
        <v>Non-Incentive</v>
      </c>
      <c r="L104" s="1" t="str">
        <f t="shared" si="3"/>
        <v>TUG</v>
      </c>
      <c r="M104" s="1">
        <f t="shared" si="4"/>
        <v>3</v>
      </c>
      <c r="N104" s="1">
        <f t="shared" si="5"/>
        <v>2017</v>
      </c>
    </row>
    <row r="105" ht="15.75" customHeight="1">
      <c r="A105" s="1" t="s">
        <v>14</v>
      </c>
      <c r="B105" s="1">
        <v>9626392.0</v>
      </c>
      <c r="C105" s="1" t="s">
        <v>1133</v>
      </c>
      <c r="D105" s="1" t="s">
        <v>1134</v>
      </c>
      <c r="E105" s="1" t="s">
        <v>1135</v>
      </c>
      <c r="F105" s="1" t="s">
        <v>1136</v>
      </c>
      <c r="G105" s="1" t="s">
        <v>19</v>
      </c>
      <c r="H105" s="1" t="s">
        <v>1137</v>
      </c>
      <c r="I105" s="1" t="s">
        <v>1138</v>
      </c>
      <c r="J105" s="1" t="str">
        <f t="shared" si="1"/>
        <v>Non-Compliant</v>
      </c>
      <c r="K105" s="1" t="str">
        <f t="shared" si="2"/>
        <v>Non-Incentive</v>
      </c>
      <c r="L105" s="1" t="str">
        <f t="shared" si="3"/>
        <v>TUG</v>
      </c>
      <c r="M105" s="1">
        <f t="shared" si="4"/>
        <v>3</v>
      </c>
      <c r="N105" s="1">
        <f t="shared" si="5"/>
        <v>2017</v>
      </c>
    </row>
    <row r="106" ht="15.75" customHeight="1">
      <c r="A106" s="1" t="s">
        <v>14</v>
      </c>
      <c r="B106" s="1">
        <v>9064900.0</v>
      </c>
      <c r="C106" s="1" t="s">
        <v>934</v>
      </c>
      <c r="D106" s="1" t="s">
        <v>935</v>
      </c>
      <c r="E106" s="1" t="s">
        <v>936</v>
      </c>
      <c r="F106" s="1" t="s">
        <v>937</v>
      </c>
      <c r="G106" s="1" t="s">
        <v>19</v>
      </c>
      <c r="H106" s="1" t="s">
        <v>938</v>
      </c>
      <c r="I106" s="1" t="s">
        <v>939</v>
      </c>
      <c r="J106" s="1" t="str">
        <f t="shared" si="1"/>
        <v>Non-Compliant</v>
      </c>
      <c r="K106" s="1" t="str">
        <f t="shared" si="2"/>
        <v>Non-Incentive</v>
      </c>
      <c r="L106" s="1" t="str">
        <f t="shared" si="3"/>
        <v>TUG</v>
      </c>
      <c r="M106" s="1">
        <f t="shared" si="4"/>
        <v>3</v>
      </c>
      <c r="N106" s="1">
        <f t="shared" si="5"/>
        <v>2017</v>
      </c>
    </row>
    <row r="107" ht="15.75" customHeight="1">
      <c r="A107" s="1" t="s">
        <v>14</v>
      </c>
      <c r="B107" s="1">
        <v>9093386.0</v>
      </c>
      <c r="C107" s="1" t="s">
        <v>945</v>
      </c>
      <c r="D107" s="1" t="s">
        <v>955</v>
      </c>
      <c r="E107" s="1" t="s">
        <v>936</v>
      </c>
      <c r="F107" s="1" t="s">
        <v>956</v>
      </c>
      <c r="G107" s="1" t="s">
        <v>19</v>
      </c>
      <c r="H107" s="1" t="s">
        <v>957</v>
      </c>
      <c r="I107" s="1" t="s">
        <v>958</v>
      </c>
      <c r="J107" s="1" t="str">
        <f t="shared" si="1"/>
        <v>Non-Compliant</v>
      </c>
      <c r="K107" s="1" t="str">
        <f t="shared" si="2"/>
        <v>Non-Incentive</v>
      </c>
      <c r="L107" s="1" t="str">
        <f t="shared" si="3"/>
        <v>TUG</v>
      </c>
      <c r="M107" s="1">
        <f t="shared" si="4"/>
        <v>3</v>
      </c>
      <c r="N107" s="1">
        <f t="shared" si="5"/>
        <v>2017</v>
      </c>
    </row>
    <row r="108" ht="15.75" customHeight="1">
      <c r="A108" s="1" t="s">
        <v>14</v>
      </c>
      <c r="B108" s="1">
        <v>9086361.0</v>
      </c>
      <c r="C108" s="1" t="s">
        <v>945</v>
      </c>
      <c r="D108" s="1" t="s">
        <v>946</v>
      </c>
      <c r="E108" s="1" t="s">
        <v>947</v>
      </c>
      <c r="F108" s="1" t="s">
        <v>948</v>
      </c>
      <c r="G108" s="1" t="s">
        <v>37</v>
      </c>
      <c r="H108" s="1" t="s">
        <v>949</v>
      </c>
      <c r="I108" s="1" t="s">
        <v>950</v>
      </c>
      <c r="J108" s="1" t="str">
        <f t="shared" si="1"/>
        <v>Non-Compliant</v>
      </c>
      <c r="K108" s="1" t="str">
        <f t="shared" si="2"/>
        <v>Non-Incentive</v>
      </c>
      <c r="L108" s="1" t="str">
        <f t="shared" si="3"/>
        <v>TUG</v>
      </c>
      <c r="M108" s="1">
        <f t="shared" si="4"/>
        <v>3</v>
      </c>
      <c r="N108" s="1">
        <f t="shared" si="5"/>
        <v>2017</v>
      </c>
    </row>
    <row r="109" ht="15.75" customHeight="1">
      <c r="A109" s="1" t="s">
        <v>14</v>
      </c>
      <c r="B109" s="1">
        <v>9122323.0</v>
      </c>
      <c r="C109" s="1" t="s">
        <v>966</v>
      </c>
      <c r="D109" s="1" t="s">
        <v>967</v>
      </c>
      <c r="E109" s="1" t="s">
        <v>947</v>
      </c>
      <c r="F109" s="1" t="s">
        <v>964</v>
      </c>
      <c r="G109" s="1" t="s">
        <v>37</v>
      </c>
      <c r="H109" s="1" t="s">
        <v>968</v>
      </c>
      <c r="I109" s="1" t="s">
        <v>939</v>
      </c>
      <c r="J109" s="1" t="str">
        <f t="shared" si="1"/>
        <v>Non-Compliant</v>
      </c>
      <c r="K109" s="1" t="str">
        <f t="shared" si="2"/>
        <v>Non-Incentive</v>
      </c>
      <c r="L109" s="1" t="str">
        <f t="shared" si="3"/>
        <v>TUG</v>
      </c>
      <c r="M109" s="1">
        <f t="shared" si="4"/>
        <v>3</v>
      </c>
      <c r="N109" s="1">
        <f t="shared" si="5"/>
        <v>2017</v>
      </c>
    </row>
    <row r="110" ht="15.75" customHeight="1">
      <c r="A110" s="1" t="s">
        <v>14</v>
      </c>
      <c r="B110" s="1">
        <v>8486246.0</v>
      </c>
      <c r="C110" s="1" t="s">
        <v>621</v>
      </c>
      <c r="D110" s="1" t="s">
        <v>626</v>
      </c>
      <c r="E110" s="1" t="s">
        <v>551</v>
      </c>
      <c r="F110" s="1" t="s">
        <v>627</v>
      </c>
      <c r="G110" s="1" t="s">
        <v>19</v>
      </c>
      <c r="H110" s="1" t="s">
        <v>628</v>
      </c>
      <c r="I110" s="1" t="s">
        <v>503</v>
      </c>
      <c r="J110" s="1" t="str">
        <f t="shared" si="1"/>
        <v>Non-Compliant</v>
      </c>
      <c r="K110" s="1" t="str">
        <f t="shared" si="2"/>
        <v>Non-Incentive</v>
      </c>
      <c r="L110" s="1" t="str">
        <f t="shared" si="3"/>
        <v>TUG</v>
      </c>
      <c r="M110" s="1">
        <f t="shared" si="4"/>
        <v>3</v>
      </c>
      <c r="N110" s="1">
        <f t="shared" si="5"/>
        <v>2017</v>
      </c>
    </row>
    <row r="111" ht="15.75" customHeight="1">
      <c r="A111" s="1" t="s">
        <v>14</v>
      </c>
      <c r="B111" s="1">
        <v>8375057.0</v>
      </c>
      <c r="C111" s="1" t="s">
        <v>538</v>
      </c>
      <c r="D111" s="1" t="s">
        <v>550</v>
      </c>
      <c r="E111" s="1" t="s">
        <v>551</v>
      </c>
      <c r="F111" s="1" t="s">
        <v>552</v>
      </c>
      <c r="G111" s="1" t="s">
        <v>19</v>
      </c>
      <c r="H111" s="1" t="s">
        <v>553</v>
      </c>
      <c r="I111" s="1" t="s">
        <v>250</v>
      </c>
      <c r="J111" s="1" t="str">
        <f t="shared" si="1"/>
        <v>Non-Compliant</v>
      </c>
      <c r="K111" s="1" t="str">
        <f t="shared" si="2"/>
        <v>Non-Incentive</v>
      </c>
      <c r="L111" s="1" t="str">
        <f t="shared" si="3"/>
        <v>TUG</v>
      </c>
      <c r="M111" s="1">
        <f t="shared" si="4"/>
        <v>3</v>
      </c>
      <c r="N111" s="1">
        <f t="shared" si="5"/>
        <v>2017</v>
      </c>
    </row>
    <row r="112" ht="15.75" customHeight="1">
      <c r="A112" s="1" t="s">
        <v>14</v>
      </c>
      <c r="B112" s="1">
        <v>8398137.0</v>
      </c>
      <c r="C112" s="1" t="s">
        <v>554</v>
      </c>
      <c r="D112" s="1" t="s">
        <v>563</v>
      </c>
      <c r="E112" s="1" t="s">
        <v>551</v>
      </c>
      <c r="F112" s="1" t="s">
        <v>564</v>
      </c>
      <c r="G112" s="1" t="s">
        <v>19</v>
      </c>
      <c r="H112" s="1" t="s">
        <v>565</v>
      </c>
      <c r="I112" s="1" t="s">
        <v>32</v>
      </c>
      <c r="J112" s="1" t="str">
        <f t="shared" si="1"/>
        <v>Non-Compliant</v>
      </c>
      <c r="K112" s="1" t="str">
        <f t="shared" si="2"/>
        <v>Non-Incentive</v>
      </c>
      <c r="L112" s="1" t="str">
        <f t="shared" si="3"/>
        <v>TUG</v>
      </c>
      <c r="M112" s="1">
        <f t="shared" si="4"/>
        <v>3</v>
      </c>
      <c r="N112" s="1">
        <f t="shared" si="5"/>
        <v>2017</v>
      </c>
    </row>
    <row r="113" ht="15.75" customHeight="1">
      <c r="A113" s="1" t="s">
        <v>14</v>
      </c>
      <c r="B113" s="1">
        <v>7835799.0</v>
      </c>
      <c r="C113" s="1" t="s">
        <v>197</v>
      </c>
      <c r="D113" s="1" t="s">
        <v>198</v>
      </c>
      <c r="E113" s="1" t="s">
        <v>175</v>
      </c>
      <c r="F113" s="1" t="s">
        <v>199</v>
      </c>
      <c r="G113" s="1" t="s">
        <v>19</v>
      </c>
      <c r="H113" s="1" t="s">
        <v>200</v>
      </c>
      <c r="I113" s="1" t="s">
        <v>32</v>
      </c>
      <c r="J113" s="1" t="str">
        <f t="shared" si="1"/>
        <v>Non-Compliant</v>
      </c>
      <c r="K113" s="1" t="str">
        <f t="shared" si="2"/>
        <v>Non-Incentive</v>
      </c>
      <c r="L113" s="1" t="str">
        <f t="shared" si="3"/>
        <v>TUG</v>
      </c>
      <c r="M113" s="1">
        <f t="shared" si="4"/>
        <v>3</v>
      </c>
      <c r="N113" s="1">
        <f t="shared" si="5"/>
        <v>2017</v>
      </c>
    </row>
    <row r="114" ht="15.75" customHeight="1">
      <c r="A114" s="1" t="s">
        <v>14</v>
      </c>
      <c r="B114" s="1">
        <v>7800720.0</v>
      </c>
      <c r="C114" s="1" t="s">
        <v>159</v>
      </c>
      <c r="D114" s="1" t="s">
        <v>178</v>
      </c>
      <c r="E114" s="1" t="s">
        <v>175</v>
      </c>
      <c r="F114" s="1" t="s">
        <v>179</v>
      </c>
      <c r="G114" s="1" t="s">
        <v>19</v>
      </c>
      <c r="H114" s="1" t="s">
        <v>180</v>
      </c>
      <c r="I114" s="1" t="s">
        <v>181</v>
      </c>
      <c r="J114" s="1" t="str">
        <f t="shared" si="1"/>
        <v>Non-Compliant</v>
      </c>
      <c r="K114" s="1" t="str">
        <f t="shared" si="2"/>
        <v>Non-Incentive</v>
      </c>
      <c r="L114" s="1" t="str">
        <f t="shared" si="3"/>
        <v>TUG</v>
      </c>
      <c r="M114" s="1">
        <f t="shared" si="4"/>
        <v>3</v>
      </c>
      <c r="N114" s="1">
        <f t="shared" si="5"/>
        <v>2017</v>
      </c>
    </row>
    <row r="115" ht="15.75" customHeight="1">
      <c r="A115" s="1" t="s">
        <v>14</v>
      </c>
      <c r="B115" s="1">
        <v>7796181.0</v>
      </c>
      <c r="C115" s="1" t="s">
        <v>159</v>
      </c>
      <c r="D115" s="1" t="s">
        <v>174</v>
      </c>
      <c r="E115" s="1" t="s">
        <v>175</v>
      </c>
      <c r="F115" s="1" t="s">
        <v>156</v>
      </c>
      <c r="G115" s="1" t="s">
        <v>176</v>
      </c>
      <c r="H115" s="1" t="s">
        <v>177</v>
      </c>
      <c r="I115" s="1" t="s">
        <v>122</v>
      </c>
      <c r="J115" s="1" t="str">
        <f t="shared" si="1"/>
        <v>Non-Compliant</v>
      </c>
      <c r="K115" s="1" t="str">
        <f t="shared" si="2"/>
        <v>Non-Incentive</v>
      </c>
      <c r="L115" s="1" t="str">
        <f t="shared" si="3"/>
        <v>TUG</v>
      </c>
      <c r="M115" s="1">
        <f t="shared" si="4"/>
        <v>3</v>
      </c>
      <c r="N115" s="1">
        <f t="shared" si="5"/>
        <v>2017</v>
      </c>
    </row>
    <row r="116" ht="15.75" customHeight="1">
      <c r="A116" s="1" t="s">
        <v>14</v>
      </c>
      <c r="B116" s="1">
        <v>7794172.0</v>
      </c>
      <c r="C116" s="1" t="s">
        <v>159</v>
      </c>
      <c r="D116" s="1" t="s">
        <v>164</v>
      </c>
      <c r="E116" s="1" t="s">
        <v>165</v>
      </c>
      <c r="F116" s="1" t="s">
        <v>166</v>
      </c>
      <c r="G116" s="1" t="s">
        <v>19</v>
      </c>
      <c r="H116" s="1" t="s">
        <v>167</v>
      </c>
      <c r="I116" s="1" t="s">
        <v>168</v>
      </c>
      <c r="J116" s="1" t="str">
        <f t="shared" si="1"/>
        <v>Non-Compliant</v>
      </c>
      <c r="K116" s="1" t="str">
        <f t="shared" si="2"/>
        <v>Non-Incentive</v>
      </c>
      <c r="L116" s="1" t="str">
        <f t="shared" si="3"/>
        <v>TUG</v>
      </c>
      <c r="M116" s="1">
        <f t="shared" si="4"/>
        <v>3</v>
      </c>
      <c r="N116" s="1">
        <f t="shared" si="5"/>
        <v>2017</v>
      </c>
    </row>
    <row r="117" ht="15.75" customHeight="1">
      <c r="A117" s="1" t="s">
        <v>14</v>
      </c>
      <c r="B117" s="1">
        <v>1367821.0</v>
      </c>
      <c r="C117" s="1" t="s">
        <v>1442</v>
      </c>
      <c r="D117" s="1" t="s">
        <v>1448</v>
      </c>
      <c r="E117" s="1" t="s">
        <v>1449</v>
      </c>
      <c r="F117" s="1" t="s">
        <v>1450</v>
      </c>
      <c r="G117" s="1" t="s">
        <v>19</v>
      </c>
      <c r="H117" s="1" t="s">
        <v>1451</v>
      </c>
      <c r="I117" s="1" t="s">
        <v>1452</v>
      </c>
      <c r="J117" s="1" t="str">
        <f t="shared" si="1"/>
        <v>Non-Compliant</v>
      </c>
      <c r="K117" s="1" t="str">
        <f t="shared" si="2"/>
        <v>Non-Incentive</v>
      </c>
      <c r="L117" s="1" t="str">
        <f t="shared" si="3"/>
        <v>TUG</v>
      </c>
      <c r="M117" s="1">
        <f t="shared" si="4"/>
        <v>3</v>
      </c>
      <c r="N117" s="1">
        <f t="shared" si="5"/>
        <v>2017</v>
      </c>
    </row>
    <row r="118" ht="15.75" customHeight="1">
      <c r="A118" s="1" t="s">
        <v>14</v>
      </c>
      <c r="B118" s="1">
        <v>1386534.0</v>
      </c>
      <c r="C118" s="1" t="s">
        <v>1456</v>
      </c>
      <c r="D118" s="1" t="s">
        <v>1457</v>
      </c>
      <c r="E118" s="1" t="s">
        <v>1444</v>
      </c>
      <c r="F118" s="1" t="s">
        <v>1458</v>
      </c>
      <c r="G118" s="1" t="s">
        <v>37</v>
      </c>
      <c r="H118" s="1" t="s">
        <v>1459</v>
      </c>
      <c r="I118" s="1" t="s">
        <v>1460</v>
      </c>
      <c r="J118" s="1" t="str">
        <f t="shared" si="1"/>
        <v>Non-Compliant</v>
      </c>
      <c r="K118" s="1" t="str">
        <f t="shared" si="2"/>
        <v>Non-Incentive</v>
      </c>
      <c r="L118" s="1" t="str">
        <f t="shared" si="3"/>
        <v>TUG</v>
      </c>
      <c r="M118" s="1">
        <f t="shared" si="4"/>
        <v>3</v>
      </c>
      <c r="N118" s="1">
        <f t="shared" si="5"/>
        <v>2017</v>
      </c>
    </row>
    <row r="119" ht="15.75" customHeight="1">
      <c r="A119" s="1" t="s">
        <v>14</v>
      </c>
      <c r="B119" s="1">
        <v>1364053.0</v>
      </c>
      <c r="C119" s="1" t="s">
        <v>1442</v>
      </c>
      <c r="D119" s="1" t="s">
        <v>1443</v>
      </c>
      <c r="E119" s="1" t="s">
        <v>1444</v>
      </c>
      <c r="F119" s="1" t="s">
        <v>1445</v>
      </c>
      <c r="G119" s="1" t="s">
        <v>37</v>
      </c>
      <c r="H119" s="1" t="s">
        <v>1446</v>
      </c>
      <c r="I119" s="1" t="s">
        <v>1447</v>
      </c>
      <c r="J119" s="1" t="str">
        <f t="shared" si="1"/>
        <v>Non-Compliant</v>
      </c>
      <c r="K119" s="1" t="str">
        <f t="shared" si="2"/>
        <v>Non-Incentive</v>
      </c>
      <c r="L119" s="1" t="str">
        <f t="shared" si="3"/>
        <v>TUG</v>
      </c>
      <c r="M119" s="1">
        <f t="shared" si="4"/>
        <v>3</v>
      </c>
      <c r="N119" s="1">
        <f t="shared" si="5"/>
        <v>2017</v>
      </c>
    </row>
    <row r="120" ht="15.75" customHeight="1">
      <c r="A120" s="1" t="s">
        <v>14</v>
      </c>
      <c r="B120" s="1">
        <v>9721864.0</v>
      </c>
      <c r="C120" s="1" t="s">
        <v>1162</v>
      </c>
      <c r="D120" s="1" t="s">
        <v>1163</v>
      </c>
      <c r="E120" s="1" t="s">
        <v>1129</v>
      </c>
      <c r="F120" s="1" t="s">
        <v>1164</v>
      </c>
      <c r="G120" s="1" t="s">
        <v>19</v>
      </c>
      <c r="H120" s="1" t="s">
        <v>1165</v>
      </c>
      <c r="I120" s="1" t="s">
        <v>1166</v>
      </c>
      <c r="J120" s="1" t="str">
        <f t="shared" si="1"/>
        <v>Non-Compliant</v>
      </c>
      <c r="K120" s="1" t="str">
        <f t="shared" si="2"/>
        <v>Non-Incentive</v>
      </c>
      <c r="L120" s="1" t="str">
        <f t="shared" si="3"/>
        <v>TUG</v>
      </c>
      <c r="M120" s="1">
        <f t="shared" si="4"/>
        <v>3</v>
      </c>
      <c r="N120" s="1">
        <f t="shared" si="5"/>
        <v>2017</v>
      </c>
    </row>
    <row r="121" ht="15.75" customHeight="1">
      <c r="A121" s="1" t="s">
        <v>14</v>
      </c>
      <c r="B121" s="1">
        <v>9612572.0</v>
      </c>
      <c r="C121" s="1" t="s">
        <v>1118</v>
      </c>
      <c r="D121" s="1" t="s">
        <v>1128</v>
      </c>
      <c r="E121" s="1" t="s">
        <v>1129</v>
      </c>
      <c r="F121" s="1" t="s">
        <v>1130</v>
      </c>
      <c r="G121" s="1" t="s">
        <v>19</v>
      </c>
      <c r="H121" s="1" t="s">
        <v>1131</v>
      </c>
      <c r="I121" s="1" t="s">
        <v>1132</v>
      </c>
      <c r="J121" s="1" t="str">
        <f t="shared" si="1"/>
        <v>Non-Compliant</v>
      </c>
      <c r="K121" s="1" t="str">
        <f t="shared" si="2"/>
        <v>Non-Incentive</v>
      </c>
      <c r="L121" s="1" t="str">
        <f t="shared" si="3"/>
        <v>TUG</v>
      </c>
      <c r="M121" s="1">
        <f t="shared" si="4"/>
        <v>3</v>
      </c>
      <c r="N121" s="1">
        <f t="shared" si="5"/>
        <v>2017</v>
      </c>
    </row>
    <row r="122" ht="15.75" customHeight="1">
      <c r="A122" s="1" t="s">
        <v>14</v>
      </c>
      <c r="B122" s="1">
        <v>9683009.0</v>
      </c>
      <c r="C122" s="1" t="s">
        <v>1145</v>
      </c>
      <c r="D122" s="1" t="s">
        <v>1150</v>
      </c>
      <c r="E122" s="1" t="s">
        <v>1129</v>
      </c>
      <c r="F122" s="1" t="s">
        <v>1151</v>
      </c>
      <c r="G122" s="1" t="s">
        <v>19</v>
      </c>
      <c r="H122" s="1" t="s">
        <v>1152</v>
      </c>
      <c r="I122" s="1" t="s">
        <v>1097</v>
      </c>
      <c r="J122" s="1" t="str">
        <f t="shared" si="1"/>
        <v>Non-Compliant</v>
      </c>
      <c r="K122" s="1" t="str">
        <f t="shared" si="2"/>
        <v>Non-Incentive</v>
      </c>
      <c r="L122" s="1" t="str">
        <f t="shared" si="3"/>
        <v>TUG</v>
      </c>
      <c r="M122" s="1">
        <f t="shared" si="4"/>
        <v>3</v>
      </c>
      <c r="N122" s="1">
        <f t="shared" si="5"/>
        <v>2017</v>
      </c>
    </row>
    <row r="123" ht="15.75" customHeight="1">
      <c r="A123" s="1" t="s">
        <v>14</v>
      </c>
      <c r="B123" s="1">
        <v>9736929.0</v>
      </c>
      <c r="C123" s="1" t="s">
        <v>1174</v>
      </c>
      <c r="D123" s="1" t="s">
        <v>1175</v>
      </c>
      <c r="E123" s="1" t="s">
        <v>1129</v>
      </c>
      <c r="F123" s="1" t="s">
        <v>1176</v>
      </c>
      <c r="G123" s="1" t="s">
        <v>19</v>
      </c>
      <c r="H123" s="1" t="s">
        <v>1177</v>
      </c>
      <c r="I123" s="1" t="s">
        <v>1178</v>
      </c>
      <c r="J123" s="1" t="str">
        <f t="shared" si="1"/>
        <v>Non-Compliant</v>
      </c>
      <c r="K123" s="1" t="str">
        <f t="shared" si="2"/>
        <v>Non-Incentive</v>
      </c>
      <c r="L123" s="1" t="str">
        <f t="shared" si="3"/>
        <v>TUG</v>
      </c>
      <c r="M123" s="1">
        <f t="shared" si="4"/>
        <v>3</v>
      </c>
      <c r="N123" s="1">
        <f t="shared" si="5"/>
        <v>2017</v>
      </c>
    </row>
    <row r="124" ht="15.75" customHeight="1">
      <c r="A124" s="1" t="s">
        <v>14</v>
      </c>
      <c r="B124" s="1">
        <v>8348694.0</v>
      </c>
      <c r="C124" s="1" t="s">
        <v>538</v>
      </c>
      <c r="D124" s="1" t="s">
        <v>539</v>
      </c>
      <c r="E124" s="1" t="s">
        <v>540</v>
      </c>
      <c r="F124" s="1" t="s">
        <v>541</v>
      </c>
      <c r="G124" s="1" t="s">
        <v>19</v>
      </c>
      <c r="H124" s="1" t="s">
        <v>542</v>
      </c>
      <c r="I124" s="1" t="s">
        <v>391</v>
      </c>
      <c r="J124" s="1" t="str">
        <f t="shared" si="1"/>
        <v>Non-Compliant</v>
      </c>
      <c r="K124" s="1" t="str">
        <f t="shared" si="2"/>
        <v>Non-Incentive</v>
      </c>
      <c r="L124" s="1" t="str">
        <f t="shared" si="3"/>
        <v>TUG</v>
      </c>
      <c r="M124" s="1">
        <f t="shared" si="4"/>
        <v>3</v>
      </c>
      <c r="N124" s="1">
        <f t="shared" si="5"/>
        <v>2017</v>
      </c>
    </row>
    <row r="125" ht="15.75" customHeight="1">
      <c r="A125" s="1" t="s">
        <v>14</v>
      </c>
      <c r="B125" s="1">
        <v>8457825.0</v>
      </c>
      <c r="C125" s="1" t="s">
        <v>596</v>
      </c>
      <c r="D125" s="1" t="s">
        <v>602</v>
      </c>
      <c r="E125" s="1" t="s">
        <v>540</v>
      </c>
      <c r="F125" s="1" t="s">
        <v>603</v>
      </c>
      <c r="G125" s="1" t="s">
        <v>19</v>
      </c>
      <c r="H125" s="1" t="s">
        <v>604</v>
      </c>
      <c r="I125" s="1" t="s">
        <v>32</v>
      </c>
      <c r="J125" s="1" t="str">
        <f t="shared" si="1"/>
        <v>Non-Compliant</v>
      </c>
      <c r="K125" s="1" t="str">
        <f t="shared" si="2"/>
        <v>Non-Incentive</v>
      </c>
      <c r="L125" s="1" t="str">
        <f t="shared" si="3"/>
        <v>TUG</v>
      </c>
      <c r="M125" s="1">
        <f t="shared" si="4"/>
        <v>3</v>
      </c>
      <c r="N125" s="1">
        <f t="shared" si="5"/>
        <v>2017</v>
      </c>
    </row>
    <row r="126" ht="15.75" customHeight="1">
      <c r="A126" s="1" t="s">
        <v>14</v>
      </c>
      <c r="B126" s="1">
        <v>8469058.0</v>
      </c>
      <c r="C126" s="1" t="s">
        <v>596</v>
      </c>
      <c r="D126" s="1" t="s">
        <v>613</v>
      </c>
      <c r="E126" s="1" t="s">
        <v>540</v>
      </c>
      <c r="F126" s="1" t="s">
        <v>614</v>
      </c>
      <c r="G126" s="1" t="s">
        <v>19</v>
      </c>
      <c r="H126" s="1" t="s">
        <v>615</v>
      </c>
      <c r="I126" s="1" t="s">
        <v>616</v>
      </c>
      <c r="J126" s="1" t="str">
        <f t="shared" si="1"/>
        <v>Non-Compliant</v>
      </c>
      <c r="K126" s="1" t="str">
        <f t="shared" si="2"/>
        <v>Non-Incentive</v>
      </c>
      <c r="L126" s="1" t="str">
        <f t="shared" si="3"/>
        <v>TUG</v>
      </c>
      <c r="M126" s="1">
        <f t="shared" si="4"/>
        <v>3</v>
      </c>
      <c r="N126" s="1">
        <f t="shared" si="5"/>
        <v>2017</v>
      </c>
    </row>
    <row r="127" ht="15.75" customHeight="1">
      <c r="A127" s="1" t="s">
        <v>14</v>
      </c>
      <c r="B127" s="1">
        <v>8483178.0</v>
      </c>
      <c r="C127" s="1" t="s">
        <v>621</v>
      </c>
      <c r="D127" s="1" t="s">
        <v>622</v>
      </c>
      <c r="E127" s="1" t="s">
        <v>540</v>
      </c>
      <c r="F127" s="1" t="s">
        <v>623</v>
      </c>
      <c r="G127" s="1" t="s">
        <v>19</v>
      </c>
      <c r="H127" s="1" t="s">
        <v>624</v>
      </c>
      <c r="I127" s="1" t="s">
        <v>625</v>
      </c>
      <c r="J127" s="1" t="str">
        <f t="shared" si="1"/>
        <v>Non-Compliant</v>
      </c>
      <c r="K127" s="1" t="str">
        <f t="shared" si="2"/>
        <v>Non-Incentive</v>
      </c>
      <c r="L127" s="1" t="str">
        <f t="shared" si="3"/>
        <v>TUG</v>
      </c>
      <c r="M127" s="1">
        <f t="shared" si="4"/>
        <v>3</v>
      </c>
      <c r="N127" s="1">
        <f t="shared" si="5"/>
        <v>2017</v>
      </c>
    </row>
    <row r="128" ht="15.75" customHeight="1">
      <c r="A128" s="1" t="s">
        <v>14</v>
      </c>
      <c r="B128" s="1">
        <v>8488643.0</v>
      </c>
      <c r="C128" s="1" t="s">
        <v>621</v>
      </c>
      <c r="D128" s="1" t="s">
        <v>629</v>
      </c>
      <c r="E128" s="1" t="s">
        <v>630</v>
      </c>
      <c r="F128" s="1" t="s">
        <v>631</v>
      </c>
      <c r="G128" s="1" t="s">
        <v>632</v>
      </c>
      <c r="H128" s="1" t="s">
        <v>633</v>
      </c>
      <c r="I128" s="1" t="s">
        <v>634</v>
      </c>
      <c r="J128" s="1" t="str">
        <f t="shared" si="1"/>
        <v>Non-Compliant</v>
      </c>
      <c r="K128" s="1" t="str">
        <f t="shared" si="2"/>
        <v>Non-Incentive</v>
      </c>
      <c r="L128" s="1" t="str">
        <f t="shared" si="3"/>
        <v>TUG</v>
      </c>
      <c r="M128" s="1">
        <f t="shared" si="4"/>
        <v>3</v>
      </c>
      <c r="N128" s="1">
        <f t="shared" si="5"/>
        <v>2017</v>
      </c>
    </row>
    <row r="129" ht="15.75" customHeight="1">
      <c r="A129" s="1" t="s">
        <v>14</v>
      </c>
      <c r="B129" s="1">
        <v>7849871.0</v>
      </c>
      <c r="C129" s="1" t="s">
        <v>197</v>
      </c>
      <c r="D129" s="1" t="s">
        <v>201</v>
      </c>
      <c r="E129" s="1" t="s">
        <v>202</v>
      </c>
      <c r="F129" s="1" t="s">
        <v>203</v>
      </c>
      <c r="G129" s="1" t="s">
        <v>19</v>
      </c>
      <c r="H129" s="1" t="s">
        <v>204</v>
      </c>
      <c r="I129" s="1" t="s">
        <v>205</v>
      </c>
      <c r="J129" s="1" t="str">
        <f t="shared" si="1"/>
        <v>Non-Compliant</v>
      </c>
      <c r="K129" s="1" t="str">
        <f t="shared" si="2"/>
        <v>Non-Incentive</v>
      </c>
      <c r="L129" s="1" t="str">
        <f t="shared" si="3"/>
        <v>TUG</v>
      </c>
      <c r="M129" s="1">
        <f t="shared" si="4"/>
        <v>3</v>
      </c>
      <c r="N129" s="1">
        <f t="shared" si="5"/>
        <v>2017</v>
      </c>
    </row>
    <row r="130" ht="15.75" customHeight="1">
      <c r="A130" s="1" t="s">
        <v>14</v>
      </c>
      <c r="B130" s="1">
        <v>9572277.0</v>
      </c>
      <c r="C130" s="1" t="s">
        <v>1098</v>
      </c>
      <c r="D130" s="1" t="s">
        <v>1104</v>
      </c>
      <c r="E130" s="1" t="s">
        <v>1105</v>
      </c>
      <c r="F130" s="1" t="s">
        <v>1106</v>
      </c>
      <c r="G130" s="1" t="s">
        <v>19</v>
      </c>
      <c r="H130" s="1" t="s">
        <v>1107</v>
      </c>
      <c r="I130" s="1" t="s">
        <v>1108</v>
      </c>
      <c r="J130" s="1" t="str">
        <f t="shared" si="1"/>
        <v>Non-Compliant</v>
      </c>
      <c r="K130" s="1" t="str">
        <f t="shared" si="2"/>
        <v>Non-Incentive</v>
      </c>
      <c r="L130" s="1" t="str">
        <f t="shared" si="3"/>
        <v>TUG</v>
      </c>
      <c r="M130" s="1">
        <f t="shared" si="4"/>
        <v>3</v>
      </c>
      <c r="N130" s="1">
        <f t="shared" si="5"/>
        <v>2017</v>
      </c>
    </row>
    <row r="131" ht="15.75" customHeight="1">
      <c r="A131" s="1" t="s">
        <v>14</v>
      </c>
      <c r="B131" s="1">
        <v>9741196.0</v>
      </c>
      <c r="C131" s="1" t="s">
        <v>1174</v>
      </c>
      <c r="D131" s="1" t="s">
        <v>1184</v>
      </c>
      <c r="E131" s="1" t="s">
        <v>1105</v>
      </c>
      <c r="F131" s="1" t="s">
        <v>1185</v>
      </c>
      <c r="G131" s="1" t="s">
        <v>19</v>
      </c>
      <c r="H131" s="1" t="s">
        <v>1186</v>
      </c>
      <c r="I131" s="1" t="s">
        <v>1187</v>
      </c>
      <c r="J131" s="1" t="str">
        <f t="shared" si="1"/>
        <v>Non-Compliant</v>
      </c>
      <c r="K131" s="1" t="str">
        <f t="shared" si="2"/>
        <v>Non-Incentive</v>
      </c>
      <c r="L131" s="1" t="str">
        <f t="shared" si="3"/>
        <v>TUG</v>
      </c>
      <c r="M131" s="1">
        <f t="shared" si="4"/>
        <v>3</v>
      </c>
      <c r="N131" s="1">
        <f t="shared" si="5"/>
        <v>2017</v>
      </c>
    </row>
    <row r="132" ht="15.75" customHeight="1">
      <c r="A132" s="1" t="s">
        <v>14</v>
      </c>
      <c r="B132" s="1">
        <v>9731029.0</v>
      </c>
      <c r="C132" s="1" t="s">
        <v>1162</v>
      </c>
      <c r="D132" s="1" t="s">
        <v>1170</v>
      </c>
      <c r="E132" s="1" t="s">
        <v>1105</v>
      </c>
      <c r="F132" s="1" t="s">
        <v>1171</v>
      </c>
      <c r="G132" s="1" t="s">
        <v>19</v>
      </c>
      <c r="H132" s="1" t="s">
        <v>1172</v>
      </c>
      <c r="I132" s="1" t="s">
        <v>1173</v>
      </c>
      <c r="J132" s="1" t="str">
        <f t="shared" si="1"/>
        <v>Non-Compliant</v>
      </c>
      <c r="K132" s="1" t="str">
        <f t="shared" si="2"/>
        <v>Non-Incentive</v>
      </c>
      <c r="L132" s="1" t="str">
        <f t="shared" si="3"/>
        <v>TUG</v>
      </c>
      <c r="M132" s="1">
        <f t="shared" si="4"/>
        <v>3</v>
      </c>
      <c r="N132" s="1">
        <f t="shared" si="5"/>
        <v>2017</v>
      </c>
    </row>
    <row r="133" ht="15.75" customHeight="1">
      <c r="A133" s="1" t="s">
        <v>14</v>
      </c>
      <c r="B133" s="1">
        <v>9725059.0</v>
      </c>
      <c r="C133" s="1" t="s">
        <v>1162</v>
      </c>
      <c r="D133" s="1" t="s">
        <v>1167</v>
      </c>
      <c r="E133" s="1" t="s">
        <v>1105</v>
      </c>
      <c r="F133" s="1" t="s">
        <v>1115</v>
      </c>
      <c r="G133" s="1" t="s">
        <v>19</v>
      </c>
      <c r="H133" s="1" t="s">
        <v>1168</v>
      </c>
      <c r="I133" s="1" t="s">
        <v>1169</v>
      </c>
      <c r="J133" s="1" t="str">
        <f t="shared" si="1"/>
        <v>Non-Compliant</v>
      </c>
      <c r="K133" s="1" t="str">
        <f t="shared" si="2"/>
        <v>Non-Incentive</v>
      </c>
      <c r="L133" s="1" t="str">
        <f t="shared" si="3"/>
        <v>TUG</v>
      </c>
      <c r="M133" s="1">
        <f t="shared" si="4"/>
        <v>3</v>
      </c>
      <c r="N133" s="1">
        <f t="shared" si="5"/>
        <v>2017</v>
      </c>
    </row>
    <row r="134" ht="15.75" customHeight="1">
      <c r="A134" s="1" t="s">
        <v>14</v>
      </c>
      <c r="B134" s="1">
        <v>9098433.0</v>
      </c>
      <c r="C134" s="1" t="s">
        <v>945</v>
      </c>
      <c r="D134" s="1" t="s">
        <v>963</v>
      </c>
      <c r="E134" s="1" t="s">
        <v>900</v>
      </c>
      <c r="F134" s="1" t="s">
        <v>964</v>
      </c>
      <c r="G134" s="1" t="s">
        <v>19</v>
      </c>
      <c r="H134" s="1" t="s">
        <v>965</v>
      </c>
      <c r="I134" s="1" t="s">
        <v>939</v>
      </c>
      <c r="J134" s="1" t="str">
        <f t="shared" si="1"/>
        <v>Non-Compliant</v>
      </c>
      <c r="K134" s="1" t="str">
        <f t="shared" si="2"/>
        <v>Non-Incentive</v>
      </c>
      <c r="L134" s="1" t="str">
        <f t="shared" si="3"/>
        <v>TUG</v>
      </c>
      <c r="M134" s="1">
        <f t="shared" si="4"/>
        <v>3</v>
      </c>
      <c r="N134" s="1">
        <f t="shared" si="5"/>
        <v>2017</v>
      </c>
    </row>
    <row r="135" ht="15.75" customHeight="1">
      <c r="A135" s="1" t="s">
        <v>14</v>
      </c>
      <c r="B135" s="1">
        <v>9150741.0</v>
      </c>
      <c r="C135" s="1" t="s">
        <v>974</v>
      </c>
      <c r="D135" s="1" t="s">
        <v>983</v>
      </c>
      <c r="E135" s="1" t="s">
        <v>900</v>
      </c>
      <c r="F135" s="1" t="s">
        <v>984</v>
      </c>
      <c r="G135" s="1" t="s">
        <v>19</v>
      </c>
      <c r="H135" s="1" t="s">
        <v>985</v>
      </c>
      <c r="I135" s="1" t="s">
        <v>986</v>
      </c>
      <c r="J135" s="1" t="str">
        <f t="shared" si="1"/>
        <v>Non-Compliant</v>
      </c>
      <c r="K135" s="1" t="str">
        <f t="shared" si="2"/>
        <v>Non-Incentive</v>
      </c>
      <c r="L135" s="1" t="str">
        <f t="shared" si="3"/>
        <v>TUG</v>
      </c>
      <c r="M135" s="1">
        <f t="shared" si="4"/>
        <v>3</v>
      </c>
      <c r="N135" s="1">
        <f t="shared" si="5"/>
        <v>2017</v>
      </c>
    </row>
    <row r="136" ht="15.75" customHeight="1">
      <c r="A136" s="1" t="s">
        <v>14</v>
      </c>
      <c r="B136" s="1">
        <v>8967109.0</v>
      </c>
      <c r="C136" s="1" t="s">
        <v>880</v>
      </c>
      <c r="D136" s="1" t="s">
        <v>899</v>
      </c>
      <c r="E136" s="1" t="s">
        <v>900</v>
      </c>
      <c r="F136" s="1" t="s">
        <v>889</v>
      </c>
      <c r="G136" s="1" t="s">
        <v>19</v>
      </c>
      <c r="H136" s="1" t="s">
        <v>901</v>
      </c>
      <c r="I136" s="1" t="s">
        <v>891</v>
      </c>
      <c r="J136" s="1" t="str">
        <f t="shared" si="1"/>
        <v>Non-Compliant</v>
      </c>
      <c r="K136" s="1" t="str">
        <f t="shared" si="2"/>
        <v>Non-Incentive</v>
      </c>
      <c r="L136" s="1" t="str">
        <f t="shared" si="3"/>
        <v>TUG</v>
      </c>
      <c r="M136" s="1">
        <f t="shared" si="4"/>
        <v>3</v>
      </c>
      <c r="N136" s="1">
        <f t="shared" si="5"/>
        <v>2017</v>
      </c>
    </row>
    <row r="137" ht="15.75" customHeight="1">
      <c r="A137" s="1" t="s">
        <v>14</v>
      </c>
      <c r="B137" s="1">
        <v>9073097.0</v>
      </c>
      <c r="C137" s="1" t="s">
        <v>934</v>
      </c>
      <c r="D137" s="1" t="s">
        <v>940</v>
      </c>
      <c r="E137" s="1" t="s">
        <v>941</v>
      </c>
      <c r="F137" s="1" t="s">
        <v>942</v>
      </c>
      <c r="G137" s="1" t="s">
        <v>37</v>
      </c>
      <c r="H137" s="1" t="s">
        <v>943</v>
      </c>
      <c r="I137" s="1" t="s">
        <v>944</v>
      </c>
      <c r="J137" s="1" t="str">
        <f t="shared" si="1"/>
        <v>Non-Compliant</v>
      </c>
      <c r="K137" s="1" t="str">
        <f t="shared" si="2"/>
        <v>Non-Incentive</v>
      </c>
      <c r="L137" s="1" t="str">
        <f t="shared" si="3"/>
        <v>TUG</v>
      </c>
      <c r="M137" s="1">
        <f t="shared" si="4"/>
        <v>3</v>
      </c>
      <c r="N137" s="1">
        <f t="shared" si="5"/>
        <v>2017</v>
      </c>
    </row>
    <row r="138" ht="15.75" customHeight="1">
      <c r="A138" s="1" t="s">
        <v>14</v>
      </c>
      <c r="B138" s="1">
        <v>9137886.0</v>
      </c>
      <c r="C138" s="1" t="s">
        <v>974</v>
      </c>
      <c r="D138" s="1" t="s">
        <v>979</v>
      </c>
      <c r="E138" s="1" t="s">
        <v>941</v>
      </c>
      <c r="F138" s="1" t="s">
        <v>980</v>
      </c>
      <c r="G138" s="1" t="s">
        <v>37</v>
      </c>
      <c r="H138" s="1" t="s">
        <v>981</v>
      </c>
      <c r="I138" s="1" t="s">
        <v>982</v>
      </c>
      <c r="J138" s="1" t="str">
        <f t="shared" si="1"/>
        <v>Non-Compliant</v>
      </c>
      <c r="K138" s="1" t="str">
        <f t="shared" si="2"/>
        <v>Non-Incentive</v>
      </c>
      <c r="L138" s="1" t="str">
        <f t="shared" si="3"/>
        <v>TUG</v>
      </c>
      <c r="M138" s="1">
        <f t="shared" si="4"/>
        <v>3</v>
      </c>
      <c r="N138" s="1">
        <f t="shared" si="5"/>
        <v>2017</v>
      </c>
    </row>
    <row r="139" ht="15.75" customHeight="1">
      <c r="A139" s="1" t="s">
        <v>14</v>
      </c>
      <c r="B139" s="1">
        <v>7852739.0</v>
      </c>
      <c r="C139" s="1" t="s">
        <v>197</v>
      </c>
      <c r="D139" s="1" t="s">
        <v>206</v>
      </c>
      <c r="E139" s="1" t="s">
        <v>128</v>
      </c>
      <c r="F139" s="1" t="s">
        <v>207</v>
      </c>
      <c r="G139" s="1" t="s">
        <v>19</v>
      </c>
      <c r="H139" s="1" t="s">
        <v>208</v>
      </c>
      <c r="I139" s="1" t="s">
        <v>209</v>
      </c>
      <c r="J139" s="1" t="str">
        <f t="shared" si="1"/>
        <v>Non-Compliant</v>
      </c>
      <c r="K139" s="1" t="str">
        <f t="shared" si="2"/>
        <v>Non-Incentive</v>
      </c>
      <c r="L139" s="1" t="str">
        <f t="shared" si="3"/>
        <v>TUG</v>
      </c>
      <c r="M139" s="1">
        <f t="shared" si="4"/>
        <v>3</v>
      </c>
      <c r="N139" s="1">
        <f t="shared" si="5"/>
        <v>2017</v>
      </c>
    </row>
    <row r="140" ht="15.75" customHeight="1">
      <c r="A140" s="1" t="s">
        <v>14</v>
      </c>
      <c r="B140" s="1">
        <v>7891796.0</v>
      </c>
      <c r="C140" s="1" t="s">
        <v>214</v>
      </c>
      <c r="D140" s="1" t="s">
        <v>223</v>
      </c>
      <c r="E140" s="1" t="s">
        <v>128</v>
      </c>
      <c r="F140" s="1" t="s">
        <v>224</v>
      </c>
      <c r="G140" s="1" t="s">
        <v>19</v>
      </c>
      <c r="H140" s="1" t="s">
        <v>225</v>
      </c>
      <c r="I140" s="1" t="s">
        <v>226</v>
      </c>
      <c r="J140" s="1" t="str">
        <f t="shared" si="1"/>
        <v>Non-Compliant</v>
      </c>
      <c r="K140" s="1" t="str">
        <f t="shared" si="2"/>
        <v>Non-Incentive</v>
      </c>
      <c r="L140" s="1" t="str">
        <f t="shared" si="3"/>
        <v>TUG</v>
      </c>
      <c r="M140" s="1">
        <f t="shared" si="4"/>
        <v>3</v>
      </c>
      <c r="N140" s="1">
        <f t="shared" si="5"/>
        <v>2017</v>
      </c>
    </row>
    <row r="141" ht="15.75" customHeight="1">
      <c r="A141" s="1" t="s">
        <v>14</v>
      </c>
      <c r="B141" s="1">
        <v>7759192.0</v>
      </c>
      <c r="C141" s="1" t="s">
        <v>126</v>
      </c>
      <c r="D141" s="1" t="s">
        <v>127</v>
      </c>
      <c r="E141" s="1" t="s">
        <v>128</v>
      </c>
      <c r="F141" s="1" t="s">
        <v>129</v>
      </c>
      <c r="G141" s="1" t="s">
        <v>19</v>
      </c>
      <c r="H141" s="1" t="s">
        <v>130</v>
      </c>
      <c r="I141" s="1" t="s">
        <v>131</v>
      </c>
      <c r="J141" s="1" t="str">
        <f t="shared" si="1"/>
        <v>Non-Compliant</v>
      </c>
      <c r="K141" s="1" t="str">
        <f t="shared" si="2"/>
        <v>Non-Incentive</v>
      </c>
      <c r="L141" s="1" t="str">
        <f t="shared" si="3"/>
        <v>TUG</v>
      </c>
      <c r="M141" s="1">
        <f t="shared" si="4"/>
        <v>3</v>
      </c>
      <c r="N141" s="1">
        <f t="shared" si="5"/>
        <v>2017</v>
      </c>
    </row>
    <row r="142" ht="15.75" customHeight="1">
      <c r="A142" s="1" t="s">
        <v>14</v>
      </c>
      <c r="B142" s="1">
        <v>7903729.0</v>
      </c>
      <c r="C142" s="1" t="s">
        <v>227</v>
      </c>
      <c r="D142" s="1" t="s">
        <v>228</v>
      </c>
      <c r="E142" s="1" t="s">
        <v>229</v>
      </c>
      <c r="F142" s="1" t="s">
        <v>230</v>
      </c>
      <c r="G142" s="1" t="s">
        <v>19</v>
      </c>
      <c r="H142" s="1" t="s">
        <v>231</v>
      </c>
      <c r="I142" s="1" t="s">
        <v>232</v>
      </c>
      <c r="J142" s="1" t="str">
        <f t="shared" si="1"/>
        <v>Non-Compliant</v>
      </c>
      <c r="K142" s="1" t="str">
        <f t="shared" si="2"/>
        <v>Non-Incentive</v>
      </c>
      <c r="L142" s="1" t="str">
        <f t="shared" si="3"/>
        <v>TUG</v>
      </c>
      <c r="M142" s="1">
        <f t="shared" si="4"/>
        <v>3</v>
      </c>
      <c r="N142" s="1">
        <f t="shared" si="5"/>
        <v>2017</v>
      </c>
    </row>
    <row r="143" ht="15.75" customHeight="1">
      <c r="A143" s="1" t="s">
        <v>14</v>
      </c>
      <c r="B143" s="1">
        <v>7862536.0</v>
      </c>
      <c r="C143" s="1" t="s">
        <v>210</v>
      </c>
      <c r="D143" s="1" t="s">
        <v>211</v>
      </c>
      <c r="E143" s="1" t="s">
        <v>147</v>
      </c>
      <c r="F143" s="1" t="s">
        <v>212</v>
      </c>
      <c r="G143" s="1" t="s">
        <v>37</v>
      </c>
      <c r="H143" s="1" t="s">
        <v>213</v>
      </c>
      <c r="I143" s="1" t="s">
        <v>32</v>
      </c>
      <c r="J143" s="1" t="str">
        <f t="shared" si="1"/>
        <v>Non-Compliant</v>
      </c>
      <c r="K143" s="1" t="str">
        <f t="shared" si="2"/>
        <v>Non-Incentive</v>
      </c>
      <c r="L143" s="1" t="str">
        <f t="shared" si="3"/>
        <v>TUG</v>
      </c>
      <c r="M143" s="1">
        <f t="shared" si="4"/>
        <v>3</v>
      </c>
      <c r="N143" s="1">
        <f t="shared" si="5"/>
        <v>2017</v>
      </c>
    </row>
    <row r="144" ht="15.75" customHeight="1">
      <c r="A144" s="1" t="s">
        <v>14</v>
      </c>
      <c r="B144" s="1">
        <v>7774110.0</v>
      </c>
      <c r="C144" s="1" t="s">
        <v>126</v>
      </c>
      <c r="D144" s="1" t="s">
        <v>146</v>
      </c>
      <c r="E144" s="1" t="s">
        <v>147</v>
      </c>
      <c r="F144" s="1" t="s">
        <v>148</v>
      </c>
      <c r="G144" s="1" t="s">
        <v>37</v>
      </c>
      <c r="H144" s="1" t="s">
        <v>149</v>
      </c>
      <c r="I144" s="1" t="s">
        <v>150</v>
      </c>
      <c r="J144" s="1" t="str">
        <f t="shared" si="1"/>
        <v>Non-Compliant</v>
      </c>
      <c r="K144" s="1" t="str">
        <f t="shared" si="2"/>
        <v>Non-Incentive</v>
      </c>
      <c r="L144" s="1" t="str">
        <f t="shared" si="3"/>
        <v>TUG</v>
      </c>
      <c r="M144" s="1">
        <f t="shared" si="4"/>
        <v>3</v>
      </c>
      <c r="N144" s="1">
        <f t="shared" si="5"/>
        <v>2017</v>
      </c>
    </row>
    <row r="145" ht="15.75" customHeight="1">
      <c r="A145" s="1" t="s">
        <v>14</v>
      </c>
      <c r="B145" s="1">
        <v>9791045.0</v>
      </c>
      <c r="C145" s="1" t="s">
        <v>1194</v>
      </c>
      <c r="D145" s="1" t="s">
        <v>1199</v>
      </c>
      <c r="E145" s="1" t="s">
        <v>1114</v>
      </c>
      <c r="F145" s="1" t="s">
        <v>1200</v>
      </c>
      <c r="G145" s="1" t="s">
        <v>1201</v>
      </c>
      <c r="H145" s="1" t="s">
        <v>1202</v>
      </c>
      <c r="I145" s="1" t="s">
        <v>1203</v>
      </c>
      <c r="J145" s="1" t="str">
        <f t="shared" si="1"/>
        <v>Non-Compliant</v>
      </c>
      <c r="K145" s="1" t="str">
        <f t="shared" si="2"/>
        <v>Non-Incentive</v>
      </c>
      <c r="L145" s="1" t="str">
        <f t="shared" si="3"/>
        <v>TUG</v>
      </c>
      <c r="M145" s="1">
        <f t="shared" si="4"/>
        <v>3</v>
      </c>
      <c r="N145" s="1">
        <f t="shared" si="5"/>
        <v>2017</v>
      </c>
    </row>
    <row r="146" ht="15.75" customHeight="1">
      <c r="A146" s="1" t="s">
        <v>14</v>
      </c>
      <c r="B146" s="1">
        <v>9580505.0</v>
      </c>
      <c r="C146" s="1" t="s">
        <v>1098</v>
      </c>
      <c r="D146" s="1" t="s">
        <v>1113</v>
      </c>
      <c r="E146" s="1" t="s">
        <v>1114</v>
      </c>
      <c r="F146" s="1" t="s">
        <v>1115</v>
      </c>
      <c r="G146" s="1" t="s">
        <v>19</v>
      </c>
      <c r="H146" s="1" t="s">
        <v>1116</v>
      </c>
      <c r="I146" s="1" t="s">
        <v>1117</v>
      </c>
      <c r="J146" s="1" t="str">
        <f t="shared" si="1"/>
        <v>Non-Compliant</v>
      </c>
      <c r="K146" s="1" t="str">
        <f t="shared" si="2"/>
        <v>Non-Incentive</v>
      </c>
      <c r="L146" s="1" t="str">
        <f t="shared" si="3"/>
        <v>TUG</v>
      </c>
      <c r="M146" s="1">
        <f t="shared" si="4"/>
        <v>3</v>
      </c>
      <c r="N146" s="1">
        <f t="shared" si="5"/>
        <v>2017</v>
      </c>
    </row>
    <row r="147" ht="15.75" customHeight="1">
      <c r="A147" s="1" t="s">
        <v>14</v>
      </c>
      <c r="B147" s="1">
        <v>9786910.0</v>
      </c>
      <c r="C147" s="1" t="s">
        <v>1194</v>
      </c>
      <c r="D147" s="1" t="s">
        <v>1195</v>
      </c>
      <c r="E147" s="1" t="s">
        <v>1114</v>
      </c>
      <c r="F147" s="1" t="s">
        <v>1196</v>
      </c>
      <c r="G147" s="1" t="s">
        <v>19</v>
      </c>
      <c r="H147" s="1" t="s">
        <v>1197</v>
      </c>
      <c r="I147" s="1" t="s">
        <v>1198</v>
      </c>
      <c r="J147" s="1" t="str">
        <f t="shared" si="1"/>
        <v>Non-Compliant</v>
      </c>
      <c r="K147" s="1" t="str">
        <f t="shared" si="2"/>
        <v>Non-Incentive</v>
      </c>
      <c r="L147" s="1" t="str">
        <f t="shared" si="3"/>
        <v>TUG</v>
      </c>
      <c r="M147" s="1">
        <f t="shared" si="4"/>
        <v>3</v>
      </c>
      <c r="N147" s="1">
        <f t="shared" si="5"/>
        <v>2017</v>
      </c>
    </row>
    <row r="148" ht="15.75" customHeight="1">
      <c r="A148" s="1" t="s">
        <v>14</v>
      </c>
      <c r="B148" s="1">
        <v>9653631.0</v>
      </c>
      <c r="C148" s="1" t="s">
        <v>1139</v>
      </c>
      <c r="D148" s="1" t="s">
        <v>1140</v>
      </c>
      <c r="E148" s="1" t="s">
        <v>1141</v>
      </c>
      <c r="F148" s="1" t="s">
        <v>1142</v>
      </c>
      <c r="G148" s="1" t="s">
        <v>19</v>
      </c>
      <c r="H148" s="1" t="s">
        <v>1143</v>
      </c>
      <c r="I148" s="1" t="s">
        <v>1144</v>
      </c>
      <c r="J148" s="1" t="str">
        <f t="shared" si="1"/>
        <v>Non-Compliant</v>
      </c>
      <c r="K148" s="1" t="str">
        <f t="shared" si="2"/>
        <v>Non-Incentive</v>
      </c>
      <c r="L148" s="1" t="str">
        <f t="shared" si="3"/>
        <v>TUG</v>
      </c>
      <c r="M148" s="1">
        <f t="shared" si="4"/>
        <v>3</v>
      </c>
      <c r="N148" s="1">
        <f t="shared" si="5"/>
        <v>2017</v>
      </c>
    </row>
    <row r="149" ht="15.75" customHeight="1">
      <c r="A149" s="1" t="s">
        <v>14</v>
      </c>
      <c r="B149" s="1">
        <v>9000406.0</v>
      </c>
      <c r="C149" s="1" t="s">
        <v>906</v>
      </c>
      <c r="D149" s="1" t="s">
        <v>912</v>
      </c>
      <c r="E149" s="1" t="s">
        <v>913</v>
      </c>
      <c r="F149" s="1" t="s">
        <v>914</v>
      </c>
      <c r="G149" s="1" t="s">
        <v>19</v>
      </c>
      <c r="H149" s="1" t="s">
        <v>915</v>
      </c>
      <c r="I149" s="1" t="s">
        <v>916</v>
      </c>
      <c r="J149" s="1" t="str">
        <f t="shared" si="1"/>
        <v>Non-Compliant</v>
      </c>
      <c r="K149" s="1" t="str">
        <f t="shared" si="2"/>
        <v>Non-Incentive</v>
      </c>
      <c r="L149" s="1" t="str">
        <f t="shared" si="3"/>
        <v>TUG</v>
      </c>
      <c r="M149" s="1">
        <f t="shared" si="4"/>
        <v>3</v>
      </c>
      <c r="N149" s="1">
        <f t="shared" si="5"/>
        <v>2017</v>
      </c>
    </row>
    <row r="150" ht="15.75" customHeight="1">
      <c r="A150" s="1" t="s">
        <v>14</v>
      </c>
      <c r="B150" s="1">
        <v>9089004.0</v>
      </c>
      <c r="C150" s="1" t="s">
        <v>945</v>
      </c>
      <c r="D150" s="1" t="s">
        <v>951</v>
      </c>
      <c r="E150" s="1" t="s">
        <v>913</v>
      </c>
      <c r="F150" s="1" t="s">
        <v>952</v>
      </c>
      <c r="G150" s="1" t="s">
        <v>19</v>
      </c>
      <c r="H150" s="1" t="s">
        <v>953</v>
      </c>
      <c r="I150" s="1" t="s">
        <v>954</v>
      </c>
      <c r="J150" s="1" t="str">
        <f t="shared" si="1"/>
        <v>Non-Compliant</v>
      </c>
      <c r="K150" s="1" t="str">
        <f t="shared" si="2"/>
        <v>Non-Incentive</v>
      </c>
      <c r="L150" s="1" t="str">
        <f t="shared" si="3"/>
        <v>TUG</v>
      </c>
      <c r="M150" s="1">
        <f t="shared" si="4"/>
        <v>3</v>
      </c>
      <c r="N150" s="1">
        <f t="shared" si="5"/>
        <v>2017</v>
      </c>
    </row>
    <row r="151" ht="15.75" customHeight="1">
      <c r="A151" s="1" t="s">
        <v>14</v>
      </c>
      <c r="B151" s="1">
        <v>9161051.0</v>
      </c>
      <c r="C151" s="1" t="s">
        <v>987</v>
      </c>
      <c r="D151" s="1" t="s">
        <v>988</v>
      </c>
      <c r="E151" s="1" t="s">
        <v>989</v>
      </c>
      <c r="F151" s="1" t="s">
        <v>990</v>
      </c>
      <c r="G151" s="1" t="s">
        <v>37</v>
      </c>
      <c r="H151" s="1" t="s">
        <v>991</v>
      </c>
      <c r="I151" s="1" t="s">
        <v>992</v>
      </c>
      <c r="J151" s="1" t="str">
        <f t="shared" si="1"/>
        <v>Non-Compliant</v>
      </c>
      <c r="K151" s="1" t="str">
        <f t="shared" si="2"/>
        <v>Non-Incentive</v>
      </c>
      <c r="L151" s="1" t="str">
        <f t="shared" si="3"/>
        <v>TUG</v>
      </c>
      <c r="M151" s="1">
        <f t="shared" si="4"/>
        <v>3</v>
      </c>
      <c r="N151" s="1">
        <f t="shared" si="5"/>
        <v>2017</v>
      </c>
    </row>
    <row r="152" ht="15.75" customHeight="1">
      <c r="A152" s="1" t="s">
        <v>14</v>
      </c>
      <c r="B152" s="1">
        <v>7877440.0</v>
      </c>
      <c r="C152" s="1" t="s">
        <v>214</v>
      </c>
      <c r="D152" s="1" t="s">
        <v>215</v>
      </c>
      <c r="E152" s="1" t="s">
        <v>142</v>
      </c>
      <c r="F152" s="1" t="s">
        <v>216</v>
      </c>
      <c r="G152" s="1" t="s">
        <v>19</v>
      </c>
      <c r="H152" s="1" t="s">
        <v>217</v>
      </c>
      <c r="I152" s="1" t="s">
        <v>218</v>
      </c>
      <c r="J152" s="1" t="str">
        <f t="shared" si="1"/>
        <v>Non-Compliant</v>
      </c>
      <c r="K152" s="1" t="str">
        <f t="shared" si="2"/>
        <v>Non-Incentive</v>
      </c>
      <c r="L152" s="1" t="str">
        <f t="shared" si="3"/>
        <v>TUG</v>
      </c>
      <c r="M152" s="1">
        <f t="shared" si="4"/>
        <v>3</v>
      </c>
      <c r="N152" s="1">
        <f t="shared" si="5"/>
        <v>2017</v>
      </c>
    </row>
    <row r="153" ht="15.75" customHeight="1">
      <c r="A153" s="1" t="s">
        <v>14</v>
      </c>
      <c r="B153" s="1">
        <v>7918086.0</v>
      </c>
      <c r="C153" s="1" t="s">
        <v>227</v>
      </c>
      <c r="D153" s="1" t="s">
        <v>243</v>
      </c>
      <c r="E153" s="1" t="s">
        <v>142</v>
      </c>
      <c r="F153" s="1" t="s">
        <v>216</v>
      </c>
      <c r="G153" s="1" t="s">
        <v>19</v>
      </c>
      <c r="H153" s="1" t="s">
        <v>244</v>
      </c>
      <c r="I153" s="1" t="s">
        <v>218</v>
      </c>
      <c r="J153" s="1" t="str">
        <f t="shared" si="1"/>
        <v>Non-Compliant</v>
      </c>
      <c r="K153" s="1" t="str">
        <f t="shared" si="2"/>
        <v>Non-Incentive</v>
      </c>
      <c r="L153" s="1" t="str">
        <f t="shared" si="3"/>
        <v>TUG</v>
      </c>
      <c r="M153" s="1">
        <f t="shared" si="4"/>
        <v>3</v>
      </c>
      <c r="N153" s="1">
        <f t="shared" si="5"/>
        <v>2017</v>
      </c>
    </row>
    <row r="154" ht="15.75" customHeight="1">
      <c r="A154" s="1" t="s">
        <v>14</v>
      </c>
      <c r="B154" s="1">
        <v>7772989.0</v>
      </c>
      <c r="C154" s="1" t="s">
        <v>126</v>
      </c>
      <c r="D154" s="1" t="s">
        <v>141</v>
      </c>
      <c r="E154" s="1" t="s">
        <v>142</v>
      </c>
      <c r="F154" s="1" t="s">
        <v>143</v>
      </c>
      <c r="G154" s="1" t="s">
        <v>19</v>
      </c>
      <c r="H154" s="1" t="s">
        <v>144</v>
      </c>
      <c r="I154" s="1" t="s">
        <v>145</v>
      </c>
      <c r="J154" s="1" t="str">
        <f t="shared" si="1"/>
        <v>Non-Compliant</v>
      </c>
      <c r="K154" s="1" t="str">
        <f t="shared" si="2"/>
        <v>Non-Incentive</v>
      </c>
      <c r="L154" s="1" t="str">
        <f t="shared" si="3"/>
        <v>TUG</v>
      </c>
      <c r="M154" s="1">
        <f t="shared" si="4"/>
        <v>3</v>
      </c>
      <c r="N154" s="1">
        <f t="shared" si="5"/>
        <v>2017</v>
      </c>
    </row>
    <row r="155" ht="15.75" customHeight="1">
      <c r="A155" s="1" t="s">
        <v>14</v>
      </c>
      <c r="B155" s="1">
        <v>7891039.0</v>
      </c>
      <c r="C155" s="1" t="s">
        <v>214</v>
      </c>
      <c r="D155" s="1" t="s">
        <v>219</v>
      </c>
      <c r="E155" s="1" t="s">
        <v>220</v>
      </c>
      <c r="F155" s="1" t="s">
        <v>221</v>
      </c>
      <c r="G155" s="1" t="s">
        <v>19</v>
      </c>
      <c r="H155" s="1" t="s">
        <v>222</v>
      </c>
      <c r="I155" s="1" t="s">
        <v>32</v>
      </c>
      <c r="J155" s="1" t="str">
        <f t="shared" si="1"/>
        <v>Non-Compliant</v>
      </c>
      <c r="K155" s="1" t="str">
        <f t="shared" si="2"/>
        <v>Non-Incentive</v>
      </c>
      <c r="L155" s="1" t="str">
        <f t="shared" si="3"/>
        <v>TUG</v>
      </c>
      <c r="M155" s="1">
        <f t="shared" si="4"/>
        <v>3</v>
      </c>
      <c r="N155" s="1">
        <f t="shared" si="5"/>
        <v>2017</v>
      </c>
    </row>
    <row r="156" ht="15.75" customHeight="1">
      <c r="A156" s="1" t="s">
        <v>14</v>
      </c>
      <c r="B156" s="1">
        <v>1411047.0</v>
      </c>
      <c r="C156" s="1" t="s">
        <v>1456</v>
      </c>
      <c r="D156" s="1" t="s">
        <v>1461</v>
      </c>
      <c r="E156" s="1" t="s">
        <v>1462</v>
      </c>
      <c r="F156" s="1" t="s">
        <v>1463</v>
      </c>
      <c r="G156" s="1" t="s">
        <v>37</v>
      </c>
      <c r="H156" s="1" t="s">
        <v>1464</v>
      </c>
      <c r="I156" s="1" t="s">
        <v>1460</v>
      </c>
      <c r="J156" s="1" t="str">
        <f t="shared" si="1"/>
        <v>Non-Compliant</v>
      </c>
      <c r="K156" s="1" t="str">
        <f t="shared" si="2"/>
        <v>Non-Incentive</v>
      </c>
      <c r="L156" s="1" t="str">
        <f t="shared" si="3"/>
        <v>TUG</v>
      </c>
      <c r="M156" s="1">
        <f t="shared" si="4"/>
        <v>3</v>
      </c>
      <c r="N156" s="1">
        <f t="shared" si="5"/>
        <v>2017</v>
      </c>
    </row>
    <row r="157" ht="15.75" customHeight="1">
      <c r="A157" s="1" t="s">
        <v>14</v>
      </c>
      <c r="B157" s="1">
        <v>9003019.0</v>
      </c>
      <c r="C157" s="1" t="s">
        <v>906</v>
      </c>
      <c r="D157" s="1" t="s">
        <v>917</v>
      </c>
      <c r="E157" s="1" t="s">
        <v>817</v>
      </c>
      <c r="F157" s="1" t="s">
        <v>914</v>
      </c>
      <c r="G157" s="1" t="s">
        <v>19</v>
      </c>
      <c r="H157" s="1" t="s">
        <v>918</v>
      </c>
      <c r="I157" s="1" t="s">
        <v>916</v>
      </c>
      <c r="J157" s="1" t="str">
        <f t="shared" si="1"/>
        <v>Non-Compliant</v>
      </c>
      <c r="K157" s="1" t="str">
        <f t="shared" si="2"/>
        <v>Non-Incentive</v>
      </c>
      <c r="L157" s="1" t="str">
        <f t="shared" si="3"/>
        <v>TUG</v>
      </c>
      <c r="M157" s="1">
        <f t="shared" si="4"/>
        <v>3</v>
      </c>
      <c r="N157" s="1">
        <f t="shared" si="5"/>
        <v>2017</v>
      </c>
    </row>
    <row r="158" ht="15.75" customHeight="1">
      <c r="A158" s="1" t="s">
        <v>14</v>
      </c>
      <c r="B158" s="1">
        <v>8826748.0</v>
      </c>
      <c r="C158" s="1" t="s">
        <v>815</v>
      </c>
      <c r="D158" s="1" t="s">
        <v>816</v>
      </c>
      <c r="E158" s="1" t="s">
        <v>817</v>
      </c>
      <c r="F158" s="1" t="s">
        <v>818</v>
      </c>
      <c r="G158" s="1" t="s">
        <v>19</v>
      </c>
      <c r="H158" s="1" t="s">
        <v>819</v>
      </c>
      <c r="I158" s="1" t="s">
        <v>820</v>
      </c>
      <c r="J158" s="1" t="str">
        <f t="shared" si="1"/>
        <v>Non-Compliant</v>
      </c>
      <c r="K158" s="1" t="str">
        <f t="shared" si="2"/>
        <v>Non-Incentive</v>
      </c>
      <c r="L158" s="1" t="str">
        <f t="shared" si="3"/>
        <v>TUG</v>
      </c>
      <c r="M158" s="1">
        <f t="shared" si="4"/>
        <v>3</v>
      </c>
      <c r="N158" s="1">
        <f t="shared" si="5"/>
        <v>2017</v>
      </c>
    </row>
    <row r="159" ht="15.75" customHeight="1">
      <c r="A159" s="1" t="s">
        <v>14</v>
      </c>
      <c r="B159" s="1">
        <v>9136843.0</v>
      </c>
      <c r="C159" s="1" t="s">
        <v>974</v>
      </c>
      <c r="D159" s="1" t="s">
        <v>975</v>
      </c>
      <c r="E159" s="1" t="s">
        <v>817</v>
      </c>
      <c r="F159" s="1" t="s">
        <v>976</v>
      </c>
      <c r="G159" s="1" t="s">
        <v>19</v>
      </c>
      <c r="H159" s="1" t="s">
        <v>977</v>
      </c>
      <c r="I159" s="1" t="s">
        <v>978</v>
      </c>
      <c r="J159" s="1" t="str">
        <f t="shared" si="1"/>
        <v>Non-Compliant</v>
      </c>
      <c r="K159" s="1" t="str">
        <f t="shared" si="2"/>
        <v>Non-Incentive</v>
      </c>
      <c r="L159" s="1" t="str">
        <f t="shared" si="3"/>
        <v>TUG</v>
      </c>
      <c r="M159" s="1">
        <f t="shared" si="4"/>
        <v>3</v>
      </c>
      <c r="N159" s="1">
        <f t="shared" si="5"/>
        <v>2017</v>
      </c>
    </row>
    <row r="160" ht="15.75" customHeight="1">
      <c r="A160" s="1" t="s">
        <v>14</v>
      </c>
      <c r="B160" s="1">
        <v>8493626.0</v>
      </c>
      <c r="C160" s="1" t="s">
        <v>621</v>
      </c>
      <c r="D160" s="1" t="s">
        <v>635</v>
      </c>
      <c r="E160" s="1" t="s">
        <v>618</v>
      </c>
      <c r="F160" s="1" t="s">
        <v>636</v>
      </c>
      <c r="G160" s="1" t="s">
        <v>37</v>
      </c>
      <c r="H160" s="1" t="s">
        <v>637</v>
      </c>
      <c r="I160" s="1" t="s">
        <v>638</v>
      </c>
      <c r="J160" s="1" t="str">
        <f t="shared" si="1"/>
        <v>Non-Compliant</v>
      </c>
      <c r="K160" s="1" t="str">
        <f t="shared" si="2"/>
        <v>Non-Incentive</v>
      </c>
      <c r="L160" s="1" t="str">
        <f t="shared" si="3"/>
        <v>TUG</v>
      </c>
      <c r="M160" s="1">
        <f t="shared" si="4"/>
        <v>3</v>
      </c>
      <c r="N160" s="1">
        <f t="shared" si="5"/>
        <v>2017</v>
      </c>
    </row>
    <row r="161" ht="15.75" customHeight="1">
      <c r="A161" s="1" t="s">
        <v>14</v>
      </c>
      <c r="B161" s="1">
        <v>8471397.0</v>
      </c>
      <c r="C161" s="1" t="s">
        <v>596</v>
      </c>
      <c r="D161" s="1" t="s">
        <v>617</v>
      </c>
      <c r="E161" s="1" t="s">
        <v>618</v>
      </c>
      <c r="F161" s="1" t="s">
        <v>619</v>
      </c>
      <c r="G161" s="1" t="s">
        <v>37</v>
      </c>
      <c r="H161" s="1" t="s">
        <v>620</v>
      </c>
      <c r="I161" s="1" t="s">
        <v>431</v>
      </c>
      <c r="J161" s="1" t="str">
        <f t="shared" si="1"/>
        <v>Non-Compliant</v>
      </c>
      <c r="K161" s="1" t="str">
        <f t="shared" si="2"/>
        <v>Non-Incentive</v>
      </c>
      <c r="L161" s="1" t="str">
        <f t="shared" si="3"/>
        <v>TUG</v>
      </c>
      <c r="M161" s="1">
        <f t="shared" si="4"/>
        <v>3</v>
      </c>
      <c r="N161" s="1">
        <f t="shared" si="5"/>
        <v>2017</v>
      </c>
    </row>
    <row r="162" ht="15.75" customHeight="1">
      <c r="A162" s="1" t="s">
        <v>14</v>
      </c>
      <c r="B162" s="1">
        <v>7096937.0</v>
      </c>
      <c r="C162" s="1" t="s">
        <v>15</v>
      </c>
      <c r="D162" s="1" t="s">
        <v>16</v>
      </c>
      <c r="E162" s="1" t="s">
        <v>17</v>
      </c>
      <c r="F162" s="1" t="s">
        <v>18</v>
      </c>
      <c r="G162" s="1" t="s">
        <v>19</v>
      </c>
      <c r="H162" s="1" t="s">
        <v>20</v>
      </c>
      <c r="I162" s="1" t="s">
        <v>21</v>
      </c>
      <c r="J162" s="1" t="str">
        <f t="shared" si="1"/>
        <v>Non-Compliant</v>
      </c>
      <c r="K162" s="1" t="str">
        <f t="shared" si="2"/>
        <v>Non-Incentive</v>
      </c>
      <c r="L162" s="1" t="str">
        <f t="shared" si="3"/>
        <v>TUG</v>
      </c>
      <c r="M162" s="1">
        <f t="shared" si="4"/>
        <v>3</v>
      </c>
      <c r="N162" s="1">
        <f t="shared" si="5"/>
        <v>2017</v>
      </c>
    </row>
    <row r="163" ht="15.75" customHeight="1">
      <c r="A163" s="1" t="s">
        <v>14</v>
      </c>
      <c r="B163" s="1">
        <v>9212445.0</v>
      </c>
      <c r="C163" s="1" t="s">
        <v>999</v>
      </c>
      <c r="D163" s="1" t="s">
        <v>1000</v>
      </c>
      <c r="E163" s="1" t="s">
        <v>1001</v>
      </c>
      <c r="F163" s="1" t="s">
        <v>1002</v>
      </c>
      <c r="G163" s="1" t="s">
        <v>19</v>
      </c>
      <c r="H163" s="1" t="s">
        <v>1003</v>
      </c>
      <c r="I163" s="1" t="s">
        <v>1004</v>
      </c>
      <c r="J163" s="1" t="str">
        <f t="shared" si="1"/>
        <v>Non-Compliant</v>
      </c>
      <c r="K163" s="1" t="str">
        <f t="shared" si="2"/>
        <v>Non-Incentive</v>
      </c>
      <c r="L163" s="1" t="str">
        <f t="shared" si="3"/>
        <v>TUG</v>
      </c>
      <c r="M163" s="1">
        <f t="shared" si="4"/>
        <v>3</v>
      </c>
      <c r="N163" s="1">
        <f t="shared" si="5"/>
        <v>2017</v>
      </c>
    </row>
    <row r="164" ht="15.75" customHeight="1">
      <c r="A164" s="1" t="s">
        <v>14</v>
      </c>
      <c r="B164" s="1">
        <v>9131041.0</v>
      </c>
      <c r="C164" s="1" t="s">
        <v>966</v>
      </c>
      <c r="D164" s="1" t="s">
        <v>969</v>
      </c>
      <c r="E164" s="1" t="s">
        <v>970</v>
      </c>
      <c r="F164" s="1" t="s">
        <v>971</v>
      </c>
      <c r="G164" s="1" t="s">
        <v>37</v>
      </c>
      <c r="H164" s="1" t="s">
        <v>972</v>
      </c>
      <c r="I164" s="1" t="s">
        <v>973</v>
      </c>
      <c r="J164" s="1" t="str">
        <f t="shared" si="1"/>
        <v>Non-Compliant</v>
      </c>
      <c r="K164" s="1" t="str">
        <f t="shared" si="2"/>
        <v>Non-Incentive</v>
      </c>
      <c r="L164" s="1" t="str">
        <f t="shared" si="3"/>
        <v>TUG</v>
      </c>
      <c r="M164" s="1">
        <f t="shared" si="4"/>
        <v>3</v>
      </c>
      <c r="N164" s="1">
        <f t="shared" si="5"/>
        <v>2017</v>
      </c>
    </row>
    <row r="165" ht="15.75" customHeight="1">
      <c r="A165" s="1" t="s">
        <v>14</v>
      </c>
      <c r="B165" s="1">
        <v>8533887.0</v>
      </c>
      <c r="C165" s="1" t="s">
        <v>649</v>
      </c>
      <c r="D165" s="1" t="s">
        <v>654</v>
      </c>
      <c r="E165" s="1" t="s">
        <v>641</v>
      </c>
      <c r="F165" s="1" t="s">
        <v>655</v>
      </c>
      <c r="G165" s="1" t="s">
        <v>19</v>
      </c>
      <c r="H165" s="1" t="s">
        <v>656</v>
      </c>
      <c r="I165" s="1" t="s">
        <v>657</v>
      </c>
      <c r="J165" s="1" t="str">
        <f t="shared" si="1"/>
        <v>Non-Compliant</v>
      </c>
      <c r="K165" s="1" t="str">
        <f t="shared" si="2"/>
        <v>Non-Incentive</v>
      </c>
      <c r="L165" s="1" t="str">
        <f t="shared" si="3"/>
        <v>TUG</v>
      </c>
      <c r="M165" s="1">
        <f t="shared" si="4"/>
        <v>3</v>
      </c>
      <c r="N165" s="1">
        <f t="shared" si="5"/>
        <v>2017</v>
      </c>
    </row>
    <row r="166" ht="15.75" customHeight="1">
      <c r="A166" s="1" t="s">
        <v>14</v>
      </c>
      <c r="B166" s="1">
        <v>8502112.0</v>
      </c>
      <c r="C166" s="1" t="s">
        <v>639</v>
      </c>
      <c r="D166" s="1" t="s">
        <v>640</v>
      </c>
      <c r="E166" s="1" t="s">
        <v>641</v>
      </c>
      <c r="F166" s="1" t="s">
        <v>642</v>
      </c>
      <c r="G166" s="1" t="s">
        <v>19</v>
      </c>
      <c r="H166" s="1" t="s">
        <v>643</v>
      </c>
      <c r="I166" s="1" t="s">
        <v>250</v>
      </c>
      <c r="J166" s="1" t="str">
        <f t="shared" si="1"/>
        <v>Non-Compliant</v>
      </c>
      <c r="K166" s="1" t="str">
        <f t="shared" si="2"/>
        <v>Non-Incentive</v>
      </c>
      <c r="L166" s="1" t="str">
        <f t="shared" si="3"/>
        <v>TUG</v>
      </c>
      <c r="M166" s="1">
        <f t="shared" si="4"/>
        <v>3</v>
      </c>
      <c r="N166" s="1">
        <f t="shared" si="5"/>
        <v>2017</v>
      </c>
    </row>
    <row r="167" ht="15.75" customHeight="1">
      <c r="A167" s="1" t="s">
        <v>14</v>
      </c>
      <c r="B167" s="1">
        <v>8452436.0</v>
      </c>
      <c r="C167" s="1" t="s">
        <v>596</v>
      </c>
      <c r="D167" s="1" t="s">
        <v>597</v>
      </c>
      <c r="E167" s="1" t="s">
        <v>598</v>
      </c>
      <c r="F167" s="1" t="s">
        <v>599</v>
      </c>
      <c r="G167" s="1" t="s">
        <v>19</v>
      </c>
      <c r="H167" s="1" t="s">
        <v>600</v>
      </c>
      <c r="I167" s="1" t="s">
        <v>601</v>
      </c>
      <c r="J167" s="1" t="str">
        <f t="shared" si="1"/>
        <v>Non-Compliant</v>
      </c>
      <c r="K167" s="1" t="str">
        <f t="shared" si="2"/>
        <v>Non-Incentive</v>
      </c>
      <c r="L167" s="1" t="str">
        <f t="shared" si="3"/>
        <v>TUG</v>
      </c>
      <c r="M167" s="1">
        <f t="shared" si="4"/>
        <v>3</v>
      </c>
      <c r="N167" s="1">
        <f t="shared" si="5"/>
        <v>2017</v>
      </c>
    </row>
    <row r="168" ht="15.75" customHeight="1">
      <c r="A168" s="1" t="s">
        <v>14</v>
      </c>
      <c r="B168" s="1">
        <v>1349513.0</v>
      </c>
      <c r="C168" s="1" t="s">
        <v>1421</v>
      </c>
      <c r="D168" s="1" t="s">
        <v>1432</v>
      </c>
      <c r="E168" s="1" t="s">
        <v>1433</v>
      </c>
      <c r="F168" s="1" t="s">
        <v>1434</v>
      </c>
      <c r="G168" s="1" t="s">
        <v>19</v>
      </c>
      <c r="H168" s="1" t="s">
        <v>1435</v>
      </c>
      <c r="I168" s="1" t="s">
        <v>1436</v>
      </c>
      <c r="J168" s="1" t="str">
        <f t="shared" si="1"/>
        <v>Non-Compliant</v>
      </c>
      <c r="K168" s="1" t="str">
        <f t="shared" si="2"/>
        <v>Non-Incentive</v>
      </c>
      <c r="L168" s="1" t="str">
        <f t="shared" si="3"/>
        <v>TUG</v>
      </c>
      <c r="M168" s="1">
        <f t="shared" si="4"/>
        <v>3</v>
      </c>
      <c r="N168" s="1">
        <f t="shared" si="5"/>
        <v>2017</v>
      </c>
    </row>
    <row r="169" ht="15.75" customHeight="1">
      <c r="A169" s="1" t="s">
        <v>14</v>
      </c>
      <c r="B169" s="1">
        <v>1468626.0</v>
      </c>
      <c r="C169" s="1" t="s">
        <v>1465</v>
      </c>
      <c r="D169" s="1" t="s">
        <v>1471</v>
      </c>
      <c r="E169" s="1" t="s">
        <v>1472</v>
      </c>
      <c r="F169" s="1" t="s">
        <v>1473</v>
      </c>
      <c r="G169" s="1" t="s">
        <v>19</v>
      </c>
      <c r="H169" s="1" t="s">
        <v>1474</v>
      </c>
      <c r="I169" s="1" t="s">
        <v>1475</v>
      </c>
      <c r="J169" s="1" t="str">
        <f t="shared" si="1"/>
        <v>Non-Compliant</v>
      </c>
      <c r="K169" s="1" t="str">
        <f t="shared" si="2"/>
        <v>Non-Incentive</v>
      </c>
      <c r="L169" s="1" t="str">
        <f t="shared" si="3"/>
        <v>TUG</v>
      </c>
      <c r="M169" s="1">
        <f t="shared" si="4"/>
        <v>3</v>
      </c>
      <c r="N169" s="1">
        <f t="shared" si="5"/>
        <v>2017</v>
      </c>
    </row>
    <row r="170" ht="15.75" customHeight="1">
      <c r="A170" s="1" t="s">
        <v>14</v>
      </c>
      <c r="B170" s="1">
        <v>1487575.0</v>
      </c>
      <c r="C170" s="1" t="s">
        <v>1491</v>
      </c>
      <c r="D170" s="1" t="s">
        <v>1497</v>
      </c>
      <c r="E170" s="1" t="s">
        <v>1498</v>
      </c>
      <c r="F170" s="1" t="s">
        <v>1499</v>
      </c>
      <c r="G170" s="1" t="s">
        <v>19</v>
      </c>
      <c r="H170" s="1" t="s">
        <v>1500</v>
      </c>
      <c r="I170" s="1" t="s">
        <v>1501</v>
      </c>
      <c r="J170" s="1" t="str">
        <f t="shared" si="1"/>
        <v>Non-Compliant</v>
      </c>
      <c r="K170" s="1" t="str">
        <f t="shared" si="2"/>
        <v>Non-Incentive</v>
      </c>
      <c r="L170" s="1" t="str">
        <f t="shared" si="3"/>
        <v>TUG</v>
      </c>
      <c r="M170" s="1">
        <f t="shared" si="4"/>
        <v>3</v>
      </c>
      <c r="N170" s="1">
        <f t="shared" si="5"/>
        <v>2017</v>
      </c>
    </row>
    <row r="171" ht="15.75" customHeight="1">
      <c r="A171" s="1" t="s">
        <v>14</v>
      </c>
      <c r="B171" s="1">
        <v>1471253.0</v>
      </c>
      <c r="C171" s="1" t="s">
        <v>1465</v>
      </c>
      <c r="D171" s="1" t="s">
        <v>1481</v>
      </c>
      <c r="E171" s="1" t="s">
        <v>1482</v>
      </c>
      <c r="F171" s="1" t="s">
        <v>1483</v>
      </c>
      <c r="G171" s="1" t="s">
        <v>37</v>
      </c>
      <c r="H171" s="1" t="s">
        <v>1484</v>
      </c>
      <c r="I171" s="1" t="s">
        <v>1485</v>
      </c>
      <c r="J171" s="1" t="str">
        <f t="shared" si="1"/>
        <v>Non-Compliant</v>
      </c>
      <c r="K171" s="1" t="str">
        <f t="shared" si="2"/>
        <v>Non-Incentive</v>
      </c>
      <c r="L171" s="1" t="str">
        <f t="shared" si="3"/>
        <v>TUG</v>
      </c>
      <c r="M171" s="1">
        <f t="shared" si="4"/>
        <v>3</v>
      </c>
      <c r="N171" s="1">
        <f t="shared" si="5"/>
        <v>2017</v>
      </c>
    </row>
    <row r="172" ht="15.75" customHeight="1">
      <c r="A172" s="1" t="s">
        <v>14</v>
      </c>
      <c r="B172" s="1">
        <v>9603076.0</v>
      </c>
      <c r="C172" s="1" t="s">
        <v>1118</v>
      </c>
      <c r="D172" s="1" t="s">
        <v>1123</v>
      </c>
      <c r="E172" s="1" t="s">
        <v>1124</v>
      </c>
      <c r="F172" s="1" t="s">
        <v>1125</v>
      </c>
      <c r="G172" s="1" t="s">
        <v>19</v>
      </c>
      <c r="H172" s="1" t="s">
        <v>1126</v>
      </c>
      <c r="I172" s="1" t="s">
        <v>1127</v>
      </c>
      <c r="J172" s="1" t="str">
        <f t="shared" si="1"/>
        <v>Non-Compliant</v>
      </c>
      <c r="K172" s="1" t="str">
        <f t="shared" si="2"/>
        <v>Non-Incentive</v>
      </c>
      <c r="L172" s="1" t="str">
        <f t="shared" si="3"/>
        <v>TUG</v>
      </c>
      <c r="M172" s="1">
        <f t="shared" si="4"/>
        <v>3</v>
      </c>
      <c r="N172" s="1">
        <f t="shared" si="5"/>
        <v>2017</v>
      </c>
    </row>
    <row r="173" ht="15.75" customHeight="1">
      <c r="A173" s="1" t="s">
        <v>14</v>
      </c>
      <c r="B173" s="1">
        <v>9802291.0</v>
      </c>
      <c r="C173" s="1" t="s">
        <v>1194</v>
      </c>
      <c r="D173" s="1" t="s">
        <v>1204</v>
      </c>
      <c r="E173" s="1" t="s">
        <v>1190</v>
      </c>
      <c r="F173" s="1" t="s">
        <v>1205</v>
      </c>
      <c r="G173" s="1" t="s">
        <v>19</v>
      </c>
      <c r="H173" s="1" t="s">
        <v>1206</v>
      </c>
      <c r="I173" s="1" t="s">
        <v>1207</v>
      </c>
      <c r="J173" s="1" t="str">
        <f t="shared" si="1"/>
        <v>Non-Compliant</v>
      </c>
      <c r="K173" s="1" t="str">
        <f t="shared" si="2"/>
        <v>Non-Incentive</v>
      </c>
      <c r="L173" s="1" t="str">
        <f t="shared" si="3"/>
        <v>TUG</v>
      </c>
      <c r="M173" s="1">
        <f t="shared" si="4"/>
        <v>3</v>
      </c>
      <c r="N173" s="1">
        <f t="shared" si="5"/>
        <v>2017</v>
      </c>
    </row>
    <row r="174" ht="15.75" customHeight="1">
      <c r="A174" s="1" t="s">
        <v>14</v>
      </c>
      <c r="B174" s="1">
        <v>9776960.0</v>
      </c>
      <c r="C174" s="1" t="s">
        <v>1188</v>
      </c>
      <c r="D174" s="1" t="s">
        <v>1189</v>
      </c>
      <c r="E174" s="1" t="s">
        <v>1190</v>
      </c>
      <c r="F174" s="1" t="s">
        <v>1191</v>
      </c>
      <c r="G174" s="1" t="s">
        <v>19</v>
      </c>
      <c r="H174" s="1" t="s">
        <v>1192</v>
      </c>
      <c r="I174" s="1" t="s">
        <v>1193</v>
      </c>
      <c r="J174" s="1" t="str">
        <f t="shared" si="1"/>
        <v>Non-Compliant</v>
      </c>
      <c r="K174" s="1" t="str">
        <f t="shared" si="2"/>
        <v>Non-Incentive</v>
      </c>
      <c r="L174" s="1" t="str">
        <f t="shared" si="3"/>
        <v>TUG</v>
      </c>
      <c r="M174" s="1">
        <f t="shared" si="4"/>
        <v>3</v>
      </c>
      <c r="N174" s="1">
        <f t="shared" si="5"/>
        <v>2017</v>
      </c>
    </row>
    <row r="175" ht="15.75" customHeight="1">
      <c r="A175" s="1" t="s">
        <v>14</v>
      </c>
      <c r="B175" s="1">
        <v>9225719.0</v>
      </c>
      <c r="C175" s="1" t="s">
        <v>999</v>
      </c>
      <c r="D175" s="1" t="s">
        <v>1005</v>
      </c>
      <c r="E175" s="1" t="s">
        <v>1006</v>
      </c>
      <c r="F175" s="1" t="s">
        <v>1007</v>
      </c>
      <c r="G175" s="1" t="s">
        <v>19</v>
      </c>
      <c r="H175" s="1" t="s">
        <v>1008</v>
      </c>
      <c r="I175" s="1" t="s">
        <v>32</v>
      </c>
      <c r="J175" s="1" t="str">
        <f t="shared" si="1"/>
        <v>Non-Compliant</v>
      </c>
      <c r="K175" s="1" t="str">
        <f t="shared" si="2"/>
        <v>Non-Incentive</v>
      </c>
      <c r="L175" s="1" t="str">
        <f t="shared" si="3"/>
        <v>TUG</v>
      </c>
      <c r="M175" s="1">
        <f t="shared" si="4"/>
        <v>3</v>
      </c>
      <c r="N175" s="1">
        <f t="shared" si="5"/>
        <v>2017</v>
      </c>
    </row>
    <row r="176" ht="15.75" customHeight="1">
      <c r="A176" s="1" t="s">
        <v>14</v>
      </c>
      <c r="B176" s="1">
        <v>9226280.0</v>
      </c>
      <c r="C176" s="1" t="s">
        <v>999</v>
      </c>
      <c r="D176" s="1" t="s">
        <v>1009</v>
      </c>
      <c r="E176" s="1" t="s">
        <v>1010</v>
      </c>
      <c r="F176" s="1" t="s">
        <v>1011</v>
      </c>
      <c r="G176" s="1" t="s">
        <v>19</v>
      </c>
      <c r="H176" s="1" t="s">
        <v>1012</v>
      </c>
      <c r="I176" s="1" t="s">
        <v>1013</v>
      </c>
      <c r="J176" s="1" t="str">
        <f t="shared" si="1"/>
        <v>Non-Compliant</v>
      </c>
      <c r="K176" s="1" t="str">
        <f t="shared" si="2"/>
        <v>Non-Incentive</v>
      </c>
      <c r="L176" s="1" t="str">
        <f t="shared" si="3"/>
        <v>TUG</v>
      </c>
      <c r="M176" s="1">
        <f t="shared" si="4"/>
        <v>3</v>
      </c>
      <c r="N176" s="1">
        <f t="shared" si="5"/>
        <v>2017</v>
      </c>
    </row>
    <row r="177" ht="15.75" customHeight="1">
      <c r="A177" s="1" t="s">
        <v>14</v>
      </c>
      <c r="B177" s="1">
        <v>8576060.0</v>
      </c>
      <c r="C177" s="1" t="s">
        <v>663</v>
      </c>
      <c r="D177" s="1" t="s">
        <v>664</v>
      </c>
      <c r="E177" s="1" t="s">
        <v>665</v>
      </c>
      <c r="F177" s="1" t="s">
        <v>666</v>
      </c>
      <c r="G177" s="1" t="s">
        <v>19</v>
      </c>
      <c r="H177" s="1" t="s">
        <v>667</v>
      </c>
      <c r="I177" s="1" t="s">
        <v>668</v>
      </c>
      <c r="J177" s="1" t="str">
        <f t="shared" si="1"/>
        <v>Non-Compliant</v>
      </c>
      <c r="K177" s="1" t="str">
        <f t="shared" si="2"/>
        <v>Non-Incentive</v>
      </c>
      <c r="L177" s="1" t="str">
        <f t="shared" si="3"/>
        <v>TUG</v>
      </c>
      <c r="M177" s="1">
        <f t="shared" si="4"/>
        <v>3</v>
      </c>
      <c r="N177" s="1">
        <f t="shared" si="5"/>
        <v>2017</v>
      </c>
    </row>
    <row r="178" ht="15.75" customHeight="1">
      <c r="A178" s="1" t="s">
        <v>14</v>
      </c>
      <c r="B178" s="1">
        <v>8600398.0</v>
      </c>
      <c r="C178" s="1" t="s">
        <v>687</v>
      </c>
      <c r="D178" s="1" t="s">
        <v>688</v>
      </c>
      <c r="E178" s="1" t="s">
        <v>665</v>
      </c>
      <c r="F178" s="1" t="s">
        <v>661</v>
      </c>
      <c r="G178" s="1" t="s">
        <v>19</v>
      </c>
      <c r="H178" s="1" t="s">
        <v>689</v>
      </c>
      <c r="I178" s="1" t="s">
        <v>32</v>
      </c>
      <c r="J178" s="1" t="str">
        <f t="shared" si="1"/>
        <v>Non-Compliant</v>
      </c>
      <c r="K178" s="1" t="str">
        <f t="shared" si="2"/>
        <v>Non-Incentive</v>
      </c>
      <c r="L178" s="1" t="str">
        <f t="shared" si="3"/>
        <v>TUG</v>
      </c>
      <c r="M178" s="1">
        <f t="shared" si="4"/>
        <v>3</v>
      </c>
      <c r="N178" s="1">
        <f t="shared" si="5"/>
        <v>2017</v>
      </c>
    </row>
    <row r="179" ht="15.75" customHeight="1">
      <c r="A179" s="1" t="s">
        <v>14</v>
      </c>
      <c r="B179" s="1">
        <v>8513208.0</v>
      </c>
      <c r="C179" s="1" t="s">
        <v>639</v>
      </c>
      <c r="D179" s="1" t="s">
        <v>644</v>
      </c>
      <c r="E179" s="1" t="s">
        <v>645</v>
      </c>
      <c r="F179" s="1" t="s">
        <v>646</v>
      </c>
      <c r="G179" s="1" t="s">
        <v>19</v>
      </c>
      <c r="H179" s="1" t="s">
        <v>647</v>
      </c>
      <c r="I179" s="1" t="s">
        <v>648</v>
      </c>
      <c r="J179" s="1" t="str">
        <f t="shared" si="1"/>
        <v>Non-Compliant</v>
      </c>
      <c r="K179" s="1" t="str">
        <f t="shared" si="2"/>
        <v>Non-Incentive</v>
      </c>
      <c r="L179" s="1" t="str">
        <f t="shared" si="3"/>
        <v>TUG</v>
      </c>
      <c r="M179" s="1">
        <f t="shared" si="4"/>
        <v>3</v>
      </c>
      <c r="N179" s="1">
        <f t="shared" si="5"/>
        <v>2017</v>
      </c>
    </row>
    <row r="180" ht="15.75" customHeight="1">
      <c r="A180" s="1" t="s">
        <v>14</v>
      </c>
      <c r="B180" s="1">
        <v>8551635.0</v>
      </c>
      <c r="C180" s="1" t="s">
        <v>658</v>
      </c>
      <c r="D180" s="1" t="s">
        <v>659</v>
      </c>
      <c r="E180" s="1" t="s">
        <v>660</v>
      </c>
      <c r="F180" s="1" t="s">
        <v>661</v>
      </c>
      <c r="G180" s="1" t="s">
        <v>37</v>
      </c>
      <c r="H180" s="1" t="s">
        <v>662</v>
      </c>
      <c r="I180" s="1" t="s">
        <v>32</v>
      </c>
      <c r="J180" s="1" t="str">
        <f t="shared" si="1"/>
        <v>Non-Compliant</v>
      </c>
      <c r="K180" s="1" t="str">
        <f t="shared" si="2"/>
        <v>Non-Incentive</v>
      </c>
      <c r="L180" s="1" t="str">
        <f t="shared" si="3"/>
        <v>TUG</v>
      </c>
      <c r="M180" s="1">
        <f t="shared" si="4"/>
        <v>3</v>
      </c>
      <c r="N180" s="1">
        <f t="shared" si="5"/>
        <v>2017</v>
      </c>
    </row>
    <row r="181" ht="15.75" customHeight="1">
      <c r="A181" s="1" t="s">
        <v>14</v>
      </c>
      <c r="B181" s="1">
        <v>7935521.0</v>
      </c>
      <c r="C181" s="1" t="s">
        <v>245</v>
      </c>
      <c r="D181" s="1" t="s">
        <v>251</v>
      </c>
      <c r="E181" s="1" t="s">
        <v>234</v>
      </c>
      <c r="F181" s="1" t="s">
        <v>230</v>
      </c>
      <c r="G181" s="1" t="s">
        <v>19</v>
      </c>
      <c r="H181" s="1" t="s">
        <v>252</v>
      </c>
      <c r="I181" s="1" t="s">
        <v>32</v>
      </c>
      <c r="J181" s="1" t="str">
        <f t="shared" si="1"/>
        <v>Non-Compliant</v>
      </c>
      <c r="K181" s="1" t="str">
        <f t="shared" si="2"/>
        <v>Non-Incentive</v>
      </c>
      <c r="L181" s="1" t="str">
        <f t="shared" si="3"/>
        <v>TUG</v>
      </c>
      <c r="M181" s="1">
        <f t="shared" si="4"/>
        <v>3</v>
      </c>
      <c r="N181" s="1">
        <f t="shared" si="5"/>
        <v>2017</v>
      </c>
    </row>
    <row r="182" ht="15.75" customHeight="1">
      <c r="A182" s="1" t="s">
        <v>14</v>
      </c>
      <c r="B182" s="1">
        <v>7961683.0</v>
      </c>
      <c r="C182" s="1" t="s">
        <v>261</v>
      </c>
      <c r="D182" s="1" t="s">
        <v>270</v>
      </c>
      <c r="E182" s="1" t="s">
        <v>234</v>
      </c>
      <c r="F182" s="1" t="s">
        <v>230</v>
      </c>
      <c r="G182" s="1" t="s">
        <v>19</v>
      </c>
      <c r="H182" s="1" t="s">
        <v>271</v>
      </c>
      <c r="I182" s="1" t="s">
        <v>272</v>
      </c>
      <c r="J182" s="1" t="str">
        <f t="shared" si="1"/>
        <v>Non-Compliant</v>
      </c>
      <c r="K182" s="1" t="str">
        <f t="shared" si="2"/>
        <v>Non-Incentive</v>
      </c>
      <c r="L182" s="1" t="str">
        <f t="shared" si="3"/>
        <v>TUG</v>
      </c>
      <c r="M182" s="1">
        <f t="shared" si="4"/>
        <v>3</v>
      </c>
      <c r="N182" s="1">
        <f t="shared" si="5"/>
        <v>2017</v>
      </c>
    </row>
    <row r="183" ht="15.75" customHeight="1">
      <c r="A183" s="1" t="s">
        <v>14</v>
      </c>
      <c r="B183" s="1">
        <v>7905312.0</v>
      </c>
      <c r="C183" s="1" t="s">
        <v>227</v>
      </c>
      <c r="D183" s="1" t="s">
        <v>233</v>
      </c>
      <c r="E183" s="1" t="s">
        <v>234</v>
      </c>
      <c r="F183" s="1" t="s">
        <v>235</v>
      </c>
      <c r="G183" s="1" t="s">
        <v>19</v>
      </c>
      <c r="H183" s="1" t="s">
        <v>236</v>
      </c>
      <c r="I183" s="1" t="s">
        <v>237</v>
      </c>
      <c r="J183" s="1" t="str">
        <f t="shared" si="1"/>
        <v>Non-Compliant</v>
      </c>
      <c r="K183" s="1" t="str">
        <f t="shared" si="2"/>
        <v>Non-Incentive</v>
      </c>
      <c r="L183" s="1" t="str">
        <f t="shared" si="3"/>
        <v>TUG</v>
      </c>
      <c r="M183" s="1">
        <f t="shared" si="4"/>
        <v>3</v>
      </c>
      <c r="N183" s="1">
        <f t="shared" si="5"/>
        <v>2017</v>
      </c>
    </row>
    <row r="184" ht="15.75" customHeight="1">
      <c r="A184" s="1" t="s">
        <v>14</v>
      </c>
      <c r="B184" s="1">
        <v>7945866.0</v>
      </c>
      <c r="C184" s="1" t="s">
        <v>245</v>
      </c>
      <c r="D184" s="1" t="s">
        <v>258</v>
      </c>
      <c r="E184" s="1" t="s">
        <v>259</v>
      </c>
      <c r="F184" s="1" t="s">
        <v>190</v>
      </c>
      <c r="G184" s="1" t="s">
        <v>37</v>
      </c>
      <c r="H184" s="1" t="s">
        <v>260</v>
      </c>
      <c r="I184" s="1" t="s">
        <v>192</v>
      </c>
      <c r="J184" s="1" t="str">
        <f t="shared" si="1"/>
        <v>Non-Compliant</v>
      </c>
      <c r="K184" s="1" t="str">
        <f t="shared" si="2"/>
        <v>Non-Incentive</v>
      </c>
      <c r="L184" s="1" t="str">
        <f t="shared" si="3"/>
        <v>TUG</v>
      </c>
      <c r="M184" s="1">
        <f t="shared" si="4"/>
        <v>3</v>
      </c>
      <c r="N184" s="1">
        <f t="shared" si="5"/>
        <v>2017</v>
      </c>
    </row>
    <row r="185" ht="15.75" customHeight="1">
      <c r="A185" s="1" t="s">
        <v>14</v>
      </c>
      <c r="B185" s="1">
        <v>1512374.0</v>
      </c>
      <c r="C185" s="1" t="s">
        <v>1505</v>
      </c>
      <c r="D185" s="1" t="s">
        <v>1510</v>
      </c>
      <c r="E185" s="1" t="s">
        <v>1511</v>
      </c>
      <c r="F185" s="1" t="s">
        <v>1512</v>
      </c>
      <c r="G185" s="1" t="s">
        <v>19</v>
      </c>
      <c r="H185" s="1" t="s">
        <v>1513</v>
      </c>
      <c r="I185" s="1" t="s">
        <v>1470</v>
      </c>
      <c r="J185" s="1" t="str">
        <f t="shared" si="1"/>
        <v>Non-Compliant</v>
      </c>
      <c r="K185" s="1" t="str">
        <f t="shared" si="2"/>
        <v>Non-Incentive</v>
      </c>
      <c r="L185" s="1" t="str">
        <f t="shared" si="3"/>
        <v>TUG</v>
      </c>
      <c r="M185" s="1">
        <f t="shared" si="4"/>
        <v>3</v>
      </c>
      <c r="N185" s="1">
        <f t="shared" si="5"/>
        <v>2017</v>
      </c>
    </row>
    <row r="186" ht="15.75" customHeight="1">
      <c r="A186" s="1" t="s">
        <v>14</v>
      </c>
      <c r="B186" s="1">
        <v>1486982.0</v>
      </c>
      <c r="C186" s="1" t="s">
        <v>1491</v>
      </c>
      <c r="D186" s="1" t="s">
        <v>1492</v>
      </c>
      <c r="E186" s="1" t="s">
        <v>1493</v>
      </c>
      <c r="F186" s="1" t="s">
        <v>1494</v>
      </c>
      <c r="G186" s="1" t="s">
        <v>37</v>
      </c>
      <c r="H186" s="1" t="s">
        <v>1495</v>
      </c>
      <c r="I186" s="1" t="s">
        <v>1496</v>
      </c>
      <c r="J186" s="1" t="str">
        <f t="shared" si="1"/>
        <v>Non-Compliant</v>
      </c>
      <c r="K186" s="1" t="str">
        <f t="shared" si="2"/>
        <v>Non-Incentive</v>
      </c>
      <c r="L186" s="1" t="str">
        <f t="shared" si="3"/>
        <v>TUG</v>
      </c>
      <c r="M186" s="1">
        <f t="shared" si="4"/>
        <v>3</v>
      </c>
      <c r="N186" s="1">
        <f t="shared" si="5"/>
        <v>2017</v>
      </c>
    </row>
    <row r="187" ht="15.75" customHeight="1">
      <c r="A187" s="1" t="s">
        <v>14</v>
      </c>
      <c r="B187" s="1">
        <v>9738912.0</v>
      </c>
      <c r="C187" s="1" t="s">
        <v>1174</v>
      </c>
      <c r="D187" s="1" t="s">
        <v>1179</v>
      </c>
      <c r="E187" s="1" t="s">
        <v>1180</v>
      </c>
      <c r="F187" s="1" t="s">
        <v>1181</v>
      </c>
      <c r="G187" s="1" t="s">
        <v>19</v>
      </c>
      <c r="H187" s="1" t="s">
        <v>1182</v>
      </c>
      <c r="I187" s="1" t="s">
        <v>1183</v>
      </c>
      <c r="J187" s="1" t="str">
        <f t="shared" si="1"/>
        <v>Non-Compliant</v>
      </c>
      <c r="K187" s="1" t="str">
        <f t="shared" si="2"/>
        <v>Non-Incentive</v>
      </c>
      <c r="L187" s="1" t="str">
        <f t="shared" si="3"/>
        <v>TUG</v>
      </c>
      <c r="M187" s="1">
        <f t="shared" si="4"/>
        <v>3</v>
      </c>
      <c r="N187" s="1">
        <f t="shared" si="5"/>
        <v>2017</v>
      </c>
    </row>
    <row r="188" ht="15.75" customHeight="1">
      <c r="A188" s="1" t="s">
        <v>14</v>
      </c>
      <c r="B188" s="1">
        <v>8608445.0</v>
      </c>
      <c r="C188" s="1" t="s">
        <v>687</v>
      </c>
      <c r="D188" s="1" t="s">
        <v>713</v>
      </c>
      <c r="E188" s="1" t="s">
        <v>670</v>
      </c>
      <c r="F188" s="1" t="s">
        <v>714</v>
      </c>
      <c r="G188" s="1" t="s">
        <v>715</v>
      </c>
      <c r="H188" s="1" t="s">
        <v>716</v>
      </c>
      <c r="I188" s="1" t="s">
        <v>712</v>
      </c>
      <c r="J188" s="1" t="str">
        <f t="shared" si="1"/>
        <v>Non-Compliant</v>
      </c>
      <c r="K188" s="1" t="str">
        <f t="shared" si="2"/>
        <v>Non-Incentive</v>
      </c>
      <c r="L188" s="1" t="str">
        <f t="shared" si="3"/>
        <v>TUG</v>
      </c>
      <c r="M188" s="1">
        <f t="shared" si="4"/>
        <v>3</v>
      </c>
      <c r="N188" s="1">
        <f t="shared" si="5"/>
        <v>2017</v>
      </c>
    </row>
    <row r="189" ht="15.75" customHeight="1">
      <c r="A189" s="1" t="s">
        <v>14</v>
      </c>
      <c r="B189" s="1">
        <v>8608463.0</v>
      </c>
      <c r="C189" s="1" t="s">
        <v>687</v>
      </c>
      <c r="D189" s="1" t="s">
        <v>718</v>
      </c>
      <c r="E189" s="1" t="s">
        <v>670</v>
      </c>
      <c r="F189" s="1" t="s">
        <v>714</v>
      </c>
      <c r="G189" s="1" t="s">
        <v>715</v>
      </c>
      <c r="H189" s="1" t="s">
        <v>716</v>
      </c>
      <c r="I189" s="1" t="s">
        <v>712</v>
      </c>
      <c r="J189" s="1" t="str">
        <f t="shared" si="1"/>
        <v>Non-Compliant</v>
      </c>
      <c r="K189" s="1" t="str">
        <f t="shared" si="2"/>
        <v>Non-Incentive</v>
      </c>
      <c r="L189" s="1" t="str">
        <f t="shared" si="3"/>
        <v>TUG</v>
      </c>
      <c r="M189" s="1">
        <f t="shared" si="4"/>
        <v>3</v>
      </c>
      <c r="N189" s="1">
        <f t="shared" si="5"/>
        <v>2017</v>
      </c>
    </row>
    <row r="190" ht="15.75" customHeight="1">
      <c r="A190" s="1" t="s">
        <v>14</v>
      </c>
      <c r="B190" s="1">
        <v>8608521.0</v>
      </c>
      <c r="C190" s="1" t="s">
        <v>687</v>
      </c>
      <c r="D190" s="1" t="s">
        <v>719</v>
      </c>
      <c r="E190" s="1" t="s">
        <v>670</v>
      </c>
      <c r="F190" s="1" t="s">
        <v>714</v>
      </c>
      <c r="G190" s="1" t="s">
        <v>710</v>
      </c>
      <c r="H190" s="1" t="s">
        <v>711</v>
      </c>
      <c r="I190" s="1" t="s">
        <v>712</v>
      </c>
      <c r="J190" s="1" t="str">
        <f t="shared" si="1"/>
        <v>Non-Compliant</v>
      </c>
      <c r="K190" s="1" t="str">
        <f t="shared" si="2"/>
        <v>Non-Incentive</v>
      </c>
      <c r="L190" s="1" t="str">
        <f t="shared" si="3"/>
        <v>TUG</v>
      </c>
      <c r="M190" s="1">
        <f t="shared" si="4"/>
        <v>3</v>
      </c>
      <c r="N190" s="1">
        <f t="shared" si="5"/>
        <v>2017</v>
      </c>
    </row>
    <row r="191" ht="15.75" customHeight="1">
      <c r="A191" s="1" t="s">
        <v>14</v>
      </c>
      <c r="B191" s="1">
        <v>8608392.0</v>
      </c>
      <c r="C191" s="1" t="s">
        <v>687</v>
      </c>
      <c r="D191" s="1" t="s">
        <v>708</v>
      </c>
      <c r="E191" s="1" t="s">
        <v>670</v>
      </c>
      <c r="F191" s="1" t="s">
        <v>709</v>
      </c>
      <c r="G191" s="1" t="s">
        <v>710</v>
      </c>
      <c r="H191" s="1" t="s">
        <v>711</v>
      </c>
      <c r="I191" s="1" t="s">
        <v>712</v>
      </c>
      <c r="J191" s="1" t="str">
        <f t="shared" si="1"/>
        <v>Non-Compliant</v>
      </c>
      <c r="K191" s="1" t="str">
        <f t="shared" si="2"/>
        <v>Non-Incentive</v>
      </c>
      <c r="L191" s="1" t="str">
        <f t="shared" si="3"/>
        <v>TUG</v>
      </c>
      <c r="M191" s="1">
        <f t="shared" si="4"/>
        <v>3</v>
      </c>
      <c r="N191" s="1">
        <f t="shared" si="5"/>
        <v>2017</v>
      </c>
    </row>
    <row r="192" ht="15.75" customHeight="1">
      <c r="A192" s="1" t="s">
        <v>14</v>
      </c>
      <c r="B192" s="1">
        <v>8608455.0</v>
      </c>
      <c r="C192" s="1" t="s">
        <v>687</v>
      </c>
      <c r="D192" s="1" t="s">
        <v>717</v>
      </c>
      <c r="E192" s="1" t="s">
        <v>670</v>
      </c>
      <c r="F192" s="1" t="s">
        <v>709</v>
      </c>
      <c r="G192" s="1" t="s">
        <v>710</v>
      </c>
      <c r="H192" s="1" t="s">
        <v>711</v>
      </c>
      <c r="I192" s="1" t="s">
        <v>712</v>
      </c>
      <c r="J192" s="1" t="str">
        <f t="shared" si="1"/>
        <v>Non-Compliant</v>
      </c>
      <c r="K192" s="1" t="str">
        <f t="shared" si="2"/>
        <v>Non-Incentive</v>
      </c>
      <c r="L192" s="1" t="str">
        <f t="shared" si="3"/>
        <v>TUG</v>
      </c>
      <c r="M192" s="1">
        <f t="shared" si="4"/>
        <v>3</v>
      </c>
      <c r="N192" s="1">
        <f t="shared" si="5"/>
        <v>2017</v>
      </c>
    </row>
    <row r="193" ht="15.75" customHeight="1">
      <c r="A193" s="1" t="s">
        <v>14</v>
      </c>
      <c r="B193" s="1">
        <v>8579468.0</v>
      </c>
      <c r="C193" s="1" t="s">
        <v>663</v>
      </c>
      <c r="D193" s="1" t="s">
        <v>669</v>
      </c>
      <c r="E193" s="1" t="s">
        <v>670</v>
      </c>
      <c r="F193" s="1" t="s">
        <v>671</v>
      </c>
      <c r="G193" s="1" t="s">
        <v>19</v>
      </c>
      <c r="H193" s="1" t="s">
        <v>672</v>
      </c>
      <c r="I193" s="1" t="s">
        <v>673</v>
      </c>
      <c r="J193" s="1" t="str">
        <f t="shared" si="1"/>
        <v>Non-Compliant</v>
      </c>
      <c r="K193" s="1" t="str">
        <f t="shared" si="2"/>
        <v>Non-Incentive</v>
      </c>
      <c r="L193" s="1" t="str">
        <f t="shared" si="3"/>
        <v>TUG</v>
      </c>
      <c r="M193" s="1">
        <f t="shared" si="4"/>
        <v>3</v>
      </c>
      <c r="N193" s="1">
        <f t="shared" si="5"/>
        <v>2017</v>
      </c>
    </row>
    <row r="194" ht="15.75" customHeight="1">
      <c r="A194" s="1" t="s">
        <v>14</v>
      </c>
      <c r="B194" s="1">
        <v>8425293.0</v>
      </c>
      <c r="C194" s="1" t="s">
        <v>571</v>
      </c>
      <c r="D194" s="1" t="s">
        <v>580</v>
      </c>
      <c r="E194" s="1" t="s">
        <v>581</v>
      </c>
      <c r="F194" s="1" t="s">
        <v>582</v>
      </c>
      <c r="G194" s="1" t="s">
        <v>19</v>
      </c>
      <c r="H194" s="1" t="s">
        <v>583</v>
      </c>
      <c r="I194" s="1" t="s">
        <v>584</v>
      </c>
      <c r="J194" s="1" t="str">
        <f t="shared" si="1"/>
        <v>Non-Compliant</v>
      </c>
      <c r="K194" s="1" t="str">
        <f t="shared" si="2"/>
        <v>Non-Incentive</v>
      </c>
      <c r="L194" s="1" t="str">
        <f t="shared" si="3"/>
        <v>TUG</v>
      </c>
      <c r="M194" s="1">
        <f t="shared" si="4"/>
        <v>3</v>
      </c>
      <c r="N194" s="1">
        <f t="shared" si="5"/>
        <v>2017</v>
      </c>
    </row>
    <row r="195" ht="15.75" customHeight="1">
      <c r="A195" s="1" t="s">
        <v>14</v>
      </c>
      <c r="B195" s="1">
        <v>8602587.0</v>
      </c>
      <c r="C195" s="1" t="s">
        <v>687</v>
      </c>
      <c r="D195" s="1" t="s">
        <v>690</v>
      </c>
      <c r="E195" s="1" t="s">
        <v>691</v>
      </c>
      <c r="F195" s="1" t="s">
        <v>692</v>
      </c>
      <c r="G195" s="1" t="s">
        <v>19</v>
      </c>
      <c r="H195" s="1" t="s">
        <v>693</v>
      </c>
      <c r="I195" s="1" t="s">
        <v>694</v>
      </c>
      <c r="J195" s="1" t="str">
        <f t="shared" si="1"/>
        <v>Non-Compliant</v>
      </c>
      <c r="K195" s="1" t="str">
        <f t="shared" si="2"/>
        <v>Non-Incentive</v>
      </c>
      <c r="L195" s="1" t="str">
        <f t="shared" si="3"/>
        <v>TUG</v>
      </c>
      <c r="M195" s="1">
        <f t="shared" si="4"/>
        <v>3</v>
      </c>
      <c r="N195" s="1">
        <f t="shared" si="5"/>
        <v>2017</v>
      </c>
    </row>
    <row r="196" ht="15.75" customHeight="1">
      <c r="A196" s="1" t="s">
        <v>14</v>
      </c>
      <c r="B196" s="1">
        <v>8607674.0</v>
      </c>
      <c r="C196" s="1" t="s">
        <v>687</v>
      </c>
      <c r="D196" s="1" t="s">
        <v>704</v>
      </c>
      <c r="E196" s="1" t="s">
        <v>705</v>
      </c>
      <c r="F196" s="1" t="s">
        <v>706</v>
      </c>
      <c r="G196" s="1" t="s">
        <v>19</v>
      </c>
      <c r="H196" s="1" t="s">
        <v>707</v>
      </c>
      <c r="I196" s="1" t="s">
        <v>32</v>
      </c>
      <c r="J196" s="1" t="str">
        <f t="shared" si="1"/>
        <v>Non-Compliant</v>
      </c>
      <c r="K196" s="1" t="str">
        <f t="shared" si="2"/>
        <v>Non-Incentive</v>
      </c>
      <c r="L196" s="1" t="str">
        <f t="shared" si="3"/>
        <v>TUG</v>
      </c>
      <c r="M196" s="1">
        <f t="shared" si="4"/>
        <v>3</v>
      </c>
      <c r="N196" s="1">
        <f t="shared" si="5"/>
        <v>2017</v>
      </c>
    </row>
    <row r="197" ht="15.75" customHeight="1">
      <c r="A197" s="1" t="s">
        <v>14</v>
      </c>
      <c r="B197" s="1">
        <v>8605254.0</v>
      </c>
      <c r="C197" s="1" t="s">
        <v>687</v>
      </c>
      <c r="D197" s="1" t="s">
        <v>695</v>
      </c>
      <c r="E197" s="1" t="s">
        <v>651</v>
      </c>
      <c r="F197" s="1" t="s">
        <v>696</v>
      </c>
      <c r="G197" s="1" t="s">
        <v>37</v>
      </c>
      <c r="H197" s="1" t="s">
        <v>697</v>
      </c>
      <c r="I197" s="1" t="s">
        <v>698</v>
      </c>
      <c r="J197" s="1" t="str">
        <f t="shared" si="1"/>
        <v>Non-Compliant</v>
      </c>
      <c r="K197" s="1" t="str">
        <f t="shared" si="2"/>
        <v>Non-Incentive</v>
      </c>
      <c r="L197" s="1" t="str">
        <f t="shared" si="3"/>
        <v>TUG</v>
      </c>
      <c r="M197" s="1">
        <f t="shared" si="4"/>
        <v>3</v>
      </c>
      <c r="N197" s="1">
        <f t="shared" si="5"/>
        <v>2017</v>
      </c>
    </row>
    <row r="198" ht="15.75" customHeight="1">
      <c r="A198" s="1" t="s">
        <v>14</v>
      </c>
      <c r="B198" s="1">
        <v>8612296.0</v>
      </c>
      <c r="C198" s="1" t="s">
        <v>687</v>
      </c>
      <c r="D198" s="1" t="s">
        <v>725</v>
      </c>
      <c r="E198" s="1" t="s">
        <v>651</v>
      </c>
      <c r="F198" s="1" t="s">
        <v>726</v>
      </c>
      <c r="G198" s="1" t="s">
        <v>37</v>
      </c>
      <c r="H198" s="1" t="s">
        <v>727</v>
      </c>
      <c r="I198" s="1" t="s">
        <v>682</v>
      </c>
      <c r="J198" s="1" t="str">
        <f t="shared" si="1"/>
        <v>Non-Compliant</v>
      </c>
      <c r="K198" s="1" t="str">
        <f t="shared" si="2"/>
        <v>Non-Incentive</v>
      </c>
      <c r="L198" s="1" t="str">
        <f t="shared" si="3"/>
        <v>TUG</v>
      </c>
      <c r="M198" s="1">
        <f t="shared" si="4"/>
        <v>3</v>
      </c>
      <c r="N198" s="1">
        <f t="shared" si="5"/>
        <v>2017</v>
      </c>
    </row>
    <row r="199" ht="15.75" customHeight="1">
      <c r="A199" s="1" t="s">
        <v>14</v>
      </c>
      <c r="B199" s="1">
        <v>8528718.0</v>
      </c>
      <c r="C199" s="1" t="s">
        <v>649</v>
      </c>
      <c r="D199" s="1" t="s">
        <v>650</v>
      </c>
      <c r="E199" s="1" t="s">
        <v>651</v>
      </c>
      <c r="F199" s="1" t="s">
        <v>652</v>
      </c>
      <c r="G199" s="1" t="s">
        <v>37</v>
      </c>
      <c r="H199" s="1" t="s">
        <v>653</v>
      </c>
      <c r="I199" s="1" t="s">
        <v>431</v>
      </c>
      <c r="J199" s="1" t="str">
        <f t="shared" si="1"/>
        <v>Non-Compliant</v>
      </c>
      <c r="K199" s="1" t="str">
        <f t="shared" si="2"/>
        <v>Non-Incentive</v>
      </c>
      <c r="L199" s="1" t="str">
        <f t="shared" si="3"/>
        <v>TUG</v>
      </c>
      <c r="M199" s="1">
        <f t="shared" si="4"/>
        <v>3</v>
      </c>
      <c r="N199" s="1">
        <f t="shared" si="5"/>
        <v>2017</v>
      </c>
    </row>
    <row r="200" ht="15.75" customHeight="1">
      <c r="A200" s="1" t="s">
        <v>14</v>
      </c>
      <c r="B200" s="1">
        <v>1469621.0</v>
      </c>
      <c r="C200" s="1" t="s">
        <v>1465</v>
      </c>
      <c r="D200" s="1" t="s">
        <v>1476</v>
      </c>
      <c r="E200" s="1" t="s">
        <v>1477</v>
      </c>
      <c r="F200" s="1" t="s">
        <v>1478</v>
      </c>
      <c r="G200" s="1" t="s">
        <v>19</v>
      </c>
      <c r="H200" s="1" t="s">
        <v>1479</v>
      </c>
      <c r="I200" s="1" t="s">
        <v>1480</v>
      </c>
      <c r="J200" s="1" t="str">
        <f t="shared" si="1"/>
        <v>Non-Compliant</v>
      </c>
      <c r="K200" s="1" t="str">
        <f t="shared" si="2"/>
        <v>Non-Incentive</v>
      </c>
      <c r="L200" s="1" t="str">
        <f t="shared" si="3"/>
        <v>TUG</v>
      </c>
      <c r="M200" s="1">
        <f t="shared" si="4"/>
        <v>3</v>
      </c>
      <c r="N200" s="1">
        <f t="shared" si="5"/>
        <v>2017</v>
      </c>
    </row>
    <row r="201" ht="15.75" customHeight="1">
      <c r="A201" s="1" t="s">
        <v>14</v>
      </c>
      <c r="B201" s="1">
        <v>1521533.0</v>
      </c>
      <c r="C201" s="1" t="s">
        <v>1505</v>
      </c>
      <c r="D201" s="1" t="s">
        <v>1514</v>
      </c>
      <c r="E201" s="1" t="s">
        <v>1477</v>
      </c>
      <c r="F201" s="1" t="s">
        <v>1515</v>
      </c>
      <c r="G201" s="1" t="s">
        <v>19</v>
      </c>
      <c r="H201" s="1" t="s">
        <v>1516</v>
      </c>
      <c r="I201" s="1" t="s">
        <v>1517</v>
      </c>
      <c r="J201" s="1" t="str">
        <f t="shared" si="1"/>
        <v>Non-Compliant</v>
      </c>
      <c r="K201" s="1" t="str">
        <f t="shared" si="2"/>
        <v>Non-Incentive</v>
      </c>
      <c r="L201" s="1" t="str">
        <f t="shared" si="3"/>
        <v>TUG</v>
      </c>
      <c r="M201" s="1">
        <f t="shared" si="4"/>
        <v>3</v>
      </c>
      <c r="N201" s="1">
        <f t="shared" si="5"/>
        <v>2017</v>
      </c>
    </row>
    <row r="202" ht="15.75" customHeight="1">
      <c r="A202" s="1" t="s">
        <v>14</v>
      </c>
      <c r="B202" s="1">
        <v>1509191.0</v>
      </c>
      <c r="C202" s="1" t="s">
        <v>1505</v>
      </c>
      <c r="D202" s="1" t="s">
        <v>1506</v>
      </c>
      <c r="E202" s="1" t="s">
        <v>1507</v>
      </c>
      <c r="F202" s="1" t="s">
        <v>1508</v>
      </c>
      <c r="G202" s="1" t="s">
        <v>19</v>
      </c>
      <c r="H202" s="1" t="s">
        <v>1509</v>
      </c>
      <c r="I202" s="1" t="s">
        <v>111</v>
      </c>
      <c r="J202" s="1" t="str">
        <f t="shared" si="1"/>
        <v>Non-Compliant</v>
      </c>
      <c r="K202" s="1" t="str">
        <f t="shared" si="2"/>
        <v>Non-Incentive</v>
      </c>
      <c r="L202" s="1" t="str">
        <f t="shared" si="3"/>
        <v>TUG</v>
      </c>
      <c r="M202" s="1">
        <f t="shared" si="4"/>
        <v>3</v>
      </c>
      <c r="N202" s="1">
        <f t="shared" si="5"/>
        <v>2017</v>
      </c>
    </row>
    <row r="203" ht="15.75" customHeight="1">
      <c r="A203" s="1" t="s">
        <v>14</v>
      </c>
      <c r="B203" s="1">
        <v>1551135.0</v>
      </c>
      <c r="C203" s="1" t="s">
        <v>1522</v>
      </c>
      <c r="D203" s="1" t="s">
        <v>1530</v>
      </c>
      <c r="E203" s="1" t="s">
        <v>1487</v>
      </c>
      <c r="F203" s="1" t="s">
        <v>1531</v>
      </c>
      <c r="G203" s="1" t="s">
        <v>37</v>
      </c>
      <c r="H203" s="1" t="s">
        <v>1532</v>
      </c>
      <c r="I203" s="1" t="s">
        <v>1533</v>
      </c>
      <c r="J203" s="1" t="str">
        <f t="shared" si="1"/>
        <v>Non-Compliant</v>
      </c>
      <c r="K203" s="1" t="str">
        <f t="shared" si="2"/>
        <v>Non-Incentive</v>
      </c>
      <c r="L203" s="1" t="str">
        <f t="shared" si="3"/>
        <v>TUG</v>
      </c>
      <c r="M203" s="1">
        <f t="shared" si="4"/>
        <v>3</v>
      </c>
      <c r="N203" s="1">
        <f t="shared" si="5"/>
        <v>2017</v>
      </c>
    </row>
    <row r="204" ht="15.75" customHeight="1">
      <c r="A204" s="1" t="s">
        <v>14</v>
      </c>
      <c r="B204" s="1">
        <v>1474614.0</v>
      </c>
      <c r="C204" s="1" t="s">
        <v>1465</v>
      </c>
      <c r="D204" s="1" t="s">
        <v>1486</v>
      </c>
      <c r="E204" s="1" t="s">
        <v>1487</v>
      </c>
      <c r="F204" s="1" t="s">
        <v>1488</v>
      </c>
      <c r="G204" s="1" t="s">
        <v>37</v>
      </c>
      <c r="H204" s="1" t="s">
        <v>1489</v>
      </c>
      <c r="I204" s="1" t="s">
        <v>1490</v>
      </c>
      <c r="J204" s="1" t="str">
        <f t="shared" si="1"/>
        <v>Non-Compliant</v>
      </c>
      <c r="K204" s="1" t="str">
        <f t="shared" si="2"/>
        <v>Non-Incentive</v>
      </c>
      <c r="L204" s="1" t="str">
        <f t="shared" si="3"/>
        <v>TUG</v>
      </c>
      <c r="M204" s="1">
        <f t="shared" si="4"/>
        <v>3</v>
      </c>
      <c r="N204" s="1">
        <f t="shared" si="5"/>
        <v>2017</v>
      </c>
    </row>
    <row r="205" ht="15.75" customHeight="1">
      <c r="A205" s="1" t="s">
        <v>14</v>
      </c>
      <c r="B205" s="1">
        <v>9852487.0</v>
      </c>
      <c r="C205" s="1" t="s">
        <v>1208</v>
      </c>
      <c r="D205" s="1" t="s">
        <v>1209</v>
      </c>
      <c r="E205" s="1" t="s">
        <v>1210</v>
      </c>
      <c r="F205" s="1" t="s">
        <v>1211</v>
      </c>
      <c r="G205" s="1" t="s">
        <v>19</v>
      </c>
      <c r="H205" s="1" t="s">
        <v>1212</v>
      </c>
      <c r="I205" s="1" t="s">
        <v>1213</v>
      </c>
      <c r="J205" s="1" t="str">
        <f t="shared" si="1"/>
        <v>Non-Compliant</v>
      </c>
      <c r="K205" s="1" t="str">
        <f t="shared" si="2"/>
        <v>Non-Incentive</v>
      </c>
      <c r="L205" s="1" t="str">
        <f t="shared" si="3"/>
        <v>TUG</v>
      </c>
      <c r="M205" s="1">
        <f t="shared" si="4"/>
        <v>3</v>
      </c>
      <c r="N205" s="1">
        <f t="shared" si="5"/>
        <v>2017</v>
      </c>
    </row>
    <row r="206" ht="15.75" customHeight="1">
      <c r="A206" s="1" t="s">
        <v>14</v>
      </c>
      <c r="B206" s="1">
        <v>8581999.0</v>
      </c>
      <c r="C206" s="1" t="s">
        <v>663</v>
      </c>
      <c r="D206" s="1" t="s">
        <v>674</v>
      </c>
      <c r="E206" s="1" t="s">
        <v>675</v>
      </c>
      <c r="F206" s="1" t="s">
        <v>676</v>
      </c>
      <c r="G206" s="1" t="s">
        <v>19</v>
      </c>
      <c r="H206" s="1" t="s">
        <v>677</v>
      </c>
      <c r="I206" s="1" t="s">
        <v>678</v>
      </c>
      <c r="J206" s="1" t="str">
        <f t="shared" si="1"/>
        <v>Non-Compliant</v>
      </c>
      <c r="K206" s="1" t="str">
        <f t="shared" si="2"/>
        <v>Non-Incentive</v>
      </c>
      <c r="L206" s="1" t="str">
        <f t="shared" si="3"/>
        <v>TUG</v>
      </c>
      <c r="M206" s="1">
        <f t="shared" si="4"/>
        <v>3</v>
      </c>
      <c r="N206" s="1">
        <f t="shared" si="5"/>
        <v>2017</v>
      </c>
    </row>
    <row r="207" ht="15.75" customHeight="1">
      <c r="A207" s="1" t="s">
        <v>14</v>
      </c>
      <c r="B207" s="1">
        <v>8620347.0</v>
      </c>
      <c r="C207" s="1" t="s">
        <v>733</v>
      </c>
      <c r="D207" s="1" t="s">
        <v>734</v>
      </c>
      <c r="E207" s="1" t="s">
        <v>675</v>
      </c>
      <c r="F207" s="1" t="s">
        <v>684</v>
      </c>
      <c r="G207" s="1" t="s">
        <v>19</v>
      </c>
      <c r="H207" s="1" t="s">
        <v>735</v>
      </c>
      <c r="I207" s="1" t="s">
        <v>686</v>
      </c>
      <c r="J207" s="1" t="str">
        <f t="shared" si="1"/>
        <v>Non-Compliant</v>
      </c>
      <c r="K207" s="1" t="str">
        <f t="shared" si="2"/>
        <v>Non-Incentive</v>
      </c>
      <c r="L207" s="1" t="str">
        <f t="shared" si="3"/>
        <v>TUG</v>
      </c>
      <c r="M207" s="1">
        <f t="shared" si="4"/>
        <v>3</v>
      </c>
      <c r="N207" s="1">
        <f t="shared" si="5"/>
        <v>2017</v>
      </c>
    </row>
    <row r="208" ht="15.75" customHeight="1">
      <c r="A208" s="1" t="s">
        <v>14</v>
      </c>
      <c r="B208" s="1">
        <v>8411392.0</v>
      </c>
      <c r="C208" s="1" t="s">
        <v>566</v>
      </c>
      <c r="D208" s="1" t="s">
        <v>567</v>
      </c>
      <c r="E208" s="1" t="s">
        <v>568</v>
      </c>
      <c r="F208" s="1" t="s">
        <v>569</v>
      </c>
      <c r="G208" s="1" t="s">
        <v>37</v>
      </c>
      <c r="H208" s="1" t="s">
        <v>570</v>
      </c>
      <c r="I208" s="1" t="s">
        <v>32</v>
      </c>
      <c r="J208" s="1" t="str">
        <f t="shared" si="1"/>
        <v>Non-Compliant</v>
      </c>
      <c r="K208" s="1" t="str">
        <f t="shared" si="2"/>
        <v>Non-Incentive</v>
      </c>
      <c r="L208" s="1" t="str">
        <f t="shared" si="3"/>
        <v>TUG</v>
      </c>
      <c r="M208" s="1">
        <f t="shared" si="4"/>
        <v>3</v>
      </c>
      <c r="N208" s="1">
        <f t="shared" si="5"/>
        <v>2017</v>
      </c>
    </row>
    <row r="209" ht="15.75" customHeight="1">
      <c r="A209" s="1" t="s">
        <v>14</v>
      </c>
      <c r="B209" s="1">
        <v>8584704.0</v>
      </c>
      <c r="C209" s="1" t="s">
        <v>663</v>
      </c>
      <c r="D209" s="1" t="s">
        <v>683</v>
      </c>
      <c r="E209" s="1" t="s">
        <v>568</v>
      </c>
      <c r="F209" s="1" t="s">
        <v>684</v>
      </c>
      <c r="G209" s="1" t="s">
        <v>37</v>
      </c>
      <c r="H209" s="1" t="s">
        <v>685</v>
      </c>
      <c r="I209" s="1" t="s">
        <v>686</v>
      </c>
      <c r="J209" s="1" t="str">
        <f t="shared" si="1"/>
        <v>Non-Compliant</v>
      </c>
      <c r="K209" s="1" t="str">
        <f t="shared" si="2"/>
        <v>Non-Incentive</v>
      </c>
      <c r="L209" s="1" t="str">
        <f t="shared" si="3"/>
        <v>TUG</v>
      </c>
      <c r="M209" s="1">
        <f t="shared" si="4"/>
        <v>3</v>
      </c>
      <c r="N209" s="1">
        <f t="shared" si="5"/>
        <v>2017</v>
      </c>
    </row>
    <row r="210" ht="15.75" customHeight="1">
      <c r="A210" s="1" t="s">
        <v>14</v>
      </c>
      <c r="B210" s="1">
        <v>7924066.0</v>
      </c>
      <c r="C210" s="1" t="s">
        <v>245</v>
      </c>
      <c r="D210" s="1" t="s">
        <v>246</v>
      </c>
      <c r="E210" s="1" t="s">
        <v>247</v>
      </c>
      <c r="F210" s="1" t="s">
        <v>248</v>
      </c>
      <c r="G210" s="1" t="s">
        <v>19</v>
      </c>
      <c r="H210" s="1" t="s">
        <v>249</v>
      </c>
      <c r="I210" s="1" t="s">
        <v>250</v>
      </c>
      <c r="J210" s="1" t="str">
        <f t="shared" si="1"/>
        <v>Non-Compliant</v>
      </c>
      <c r="K210" s="1" t="str">
        <f t="shared" si="2"/>
        <v>Non-Incentive</v>
      </c>
      <c r="L210" s="1" t="str">
        <f t="shared" si="3"/>
        <v>TUG</v>
      </c>
      <c r="M210" s="1">
        <f t="shared" si="4"/>
        <v>3</v>
      </c>
      <c r="N210" s="1">
        <f t="shared" si="5"/>
        <v>2017</v>
      </c>
    </row>
    <row r="211" ht="15.75" customHeight="1">
      <c r="A211" s="1" t="s">
        <v>14</v>
      </c>
      <c r="B211" s="1">
        <v>7971432.0</v>
      </c>
      <c r="C211" s="1" t="s">
        <v>261</v>
      </c>
      <c r="D211" s="1" t="s">
        <v>286</v>
      </c>
      <c r="E211" s="1" t="s">
        <v>247</v>
      </c>
      <c r="F211" s="1" t="s">
        <v>287</v>
      </c>
      <c r="G211" s="1" t="s">
        <v>19</v>
      </c>
      <c r="H211" s="1" t="s">
        <v>288</v>
      </c>
      <c r="I211" s="1" t="s">
        <v>289</v>
      </c>
      <c r="J211" s="1" t="str">
        <f t="shared" si="1"/>
        <v>Non-Compliant</v>
      </c>
      <c r="K211" s="1" t="str">
        <f t="shared" si="2"/>
        <v>Non-Incentive</v>
      </c>
      <c r="L211" s="1" t="str">
        <f t="shared" si="3"/>
        <v>TUG</v>
      </c>
      <c r="M211" s="1">
        <f t="shared" si="4"/>
        <v>3</v>
      </c>
      <c r="N211" s="1">
        <f t="shared" si="5"/>
        <v>2017</v>
      </c>
    </row>
    <row r="212" ht="15.75" customHeight="1">
      <c r="A212" s="1" t="s">
        <v>14</v>
      </c>
      <c r="B212" s="1">
        <v>7955843.0</v>
      </c>
      <c r="C212" s="1" t="s">
        <v>261</v>
      </c>
      <c r="D212" s="1" t="s">
        <v>262</v>
      </c>
      <c r="E212" s="1" t="s">
        <v>263</v>
      </c>
      <c r="F212" s="1" t="s">
        <v>264</v>
      </c>
      <c r="G212" s="1" t="s">
        <v>19</v>
      </c>
      <c r="H212" s="1" t="s">
        <v>265</v>
      </c>
      <c r="I212" s="1" t="s">
        <v>32</v>
      </c>
      <c r="J212" s="1" t="str">
        <f t="shared" si="1"/>
        <v>Non-Compliant</v>
      </c>
      <c r="K212" s="1" t="str">
        <f t="shared" si="2"/>
        <v>Non-Incentive</v>
      </c>
      <c r="L212" s="1" t="str">
        <f t="shared" si="3"/>
        <v>TUG</v>
      </c>
      <c r="M212" s="1">
        <f t="shared" si="4"/>
        <v>3</v>
      </c>
      <c r="N212" s="1">
        <f t="shared" si="5"/>
        <v>2017</v>
      </c>
    </row>
    <row r="213" ht="15.75" customHeight="1">
      <c r="A213" s="1" t="s">
        <v>14</v>
      </c>
      <c r="B213" s="1">
        <v>7968231.0</v>
      </c>
      <c r="C213" s="1" t="s">
        <v>261</v>
      </c>
      <c r="D213" s="1" t="s">
        <v>273</v>
      </c>
      <c r="E213" s="1" t="s">
        <v>274</v>
      </c>
      <c r="F213" s="1" t="s">
        <v>275</v>
      </c>
      <c r="G213" s="1" t="s">
        <v>37</v>
      </c>
      <c r="H213" s="1" t="s">
        <v>276</v>
      </c>
      <c r="I213" s="1" t="s">
        <v>218</v>
      </c>
      <c r="J213" s="1" t="str">
        <f t="shared" si="1"/>
        <v>Non-Compliant</v>
      </c>
      <c r="K213" s="1" t="str">
        <f t="shared" si="2"/>
        <v>Non-Incentive</v>
      </c>
      <c r="L213" s="1" t="str">
        <f t="shared" si="3"/>
        <v>TUG</v>
      </c>
      <c r="M213" s="1">
        <f t="shared" si="4"/>
        <v>3</v>
      </c>
      <c r="N213" s="1">
        <f t="shared" si="5"/>
        <v>2017</v>
      </c>
    </row>
    <row r="214" ht="15.75" customHeight="1">
      <c r="A214" s="1" t="s">
        <v>14</v>
      </c>
      <c r="B214" s="1">
        <v>1523411.0</v>
      </c>
      <c r="C214" s="1" t="s">
        <v>1505</v>
      </c>
      <c r="D214" s="1" t="s">
        <v>1518</v>
      </c>
      <c r="E214" s="1" t="s">
        <v>1519</v>
      </c>
      <c r="F214" s="1" t="s">
        <v>1520</v>
      </c>
      <c r="G214" s="1" t="s">
        <v>19</v>
      </c>
      <c r="H214" s="1" t="s">
        <v>1521</v>
      </c>
      <c r="I214" s="1" t="s">
        <v>250</v>
      </c>
      <c r="J214" s="1" t="str">
        <f t="shared" si="1"/>
        <v>Non-Compliant</v>
      </c>
      <c r="K214" s="1" t="str">
        <f t="shared" si="2"/>
        <v>Non-Incentive</v>
      </c>
      <c r="L214" s="1" t="str">
        <f t="shared" si="3"/>
        <v>TUG</v>
      </c>
      <c r="M214" s="1">
        <f t="shared" si="4"/>
        <v>3</v>
      </c>
      <c r="N214" s="1">
        <f t="shared" si="5"/>
        <v>2017</v>
      </c>
    </row>
    <row r="215" ht="15.75" customHeight="1">
      <c r="A215" s="1" t="s">
        <v>14</v>
      </c>
      <c r="B215" s="1">
        <v>9683904.0</v>
      </c>
      <c r="C215" s="1" t="s">
        <v>1145</v>
      </c>
      <c r="D215" s="1" t="s">
        <v>1153</v>
      </c>
      <c r="E215" s="1" t="s">
        <v>1154</v>
      </c>
      <c r="F215" s="1" t="s">
        <v>1155</v>
      </c>
      <c r="G215" s="1" t="s">
        <v>37</v>
      </c>
      <c r="H215" s="1" t="s">
        <v>1156</v>
      </c>
      <c r="I215" s="1" t="s">
        <v>1157</v>
      </c>
      <c r="J215" s="1" t="str">
        <f t="shared" si="1"/>
        <v>Non-Compliant</v>
      </c>
      <c r="K215" s="1" t="str">
        <f t="shared" si="2"/>
        <v>Non-Incentive</v>
      </c>
      <c r="L215" s="1" t="str">
        <f t="shared" si="3"/>
        <v>TUG</v>
      </c>
      <c r="M215" s="1">
        <f t="shared" si="4"/>
        <v>3</v>
      </c>
      <c r="N215" s="1">
        <f t="shared" si="5"/>
        <v>2017</v>
      </c>
    </row>
    <row r="216" ht="15.75" customHeight="1">
      <c r="A216" s="1" t="s">
        <v>14</v>
      </c>
      <c r="B216" s="1">
        <v>9234919.0</v>
      </c>
      <c r="C216" s="1" t="s">
        <v>1014</v>
      </c>
      <c r="D216" s="1" t="s">
        <v>1015</v>
      </c>
      <c r="E216" s="1" t="s">
        <v>1016</v>
      </c>
      <c r="F216" s="1" t="s">
        <v>1017</v>
      </c>
      <c r="G216" s="1" t="s">
        <v>19</v>
      </c>
      <c r="H216" s="1" t="s">
        <v>1018</v>
      </c>
      <c r="I216" s="1" t="s">
        <v>891</v>
      </c>
      <c r="J216" s="1" t="str">
        <f t="shared" si="1"/>
        <v>Non-Compliant</v>
      </c>
      <c r="K216" s="1" t="str">
        <f t="shared" si="2"/>
        <v>Non-Incentive</v>
      </c>
      <c r="L216" s="1" t="str">
        <f t="shared" si="3"/>
        <v>TUG</v>
      </c>
      <c r="M216" s="1">
        <f t="shared" si="4"/>
        <v>3</v>
      </c>
      <c r="N216" s="1">
        <f t="shared" si="5"/>
        <v>2017</v>
      </c>
    </row>
    <row r="217" ht="15.75" customHeight="1">
      <c r="A217" s="1" t="s">
        <v>14</v>
      </c>
      <c r="B217" s="1">
        <v>9203657.0</v>
      </c>
      <c r="C217" s="1" t="s">
        <v>993</v>
      </c>
      <c r="D217" s="1" t="s">
        <v>994</v>
      </c>
      <c r="E217" s="1" t="s">
        <v>995</v>
      </c>
      <c r="F217" s="1" t="s">
        <v>996</v>
      </c>
      <c r="G217" s="1" t="s">
        <v>37</v>
      </c>
      <c r="H217" s="1" t="s">
        <v>997</v>
      </c>
      <c r="I217" s="1" t="s">
        <v>998</v>
      </c>
      <c r="J217" s="1" t="str">
        <f t="shared" si="1"/>
        <v>Non-Compliant</v>
      </c>
      <c r="K217" s="1" t="str">
        <f t="shared" si="2"/>
        <v>Non-Incentive</v>
      </c>
      <c r="L217" s="1" t="str">
        <f t="shared" si="3"/>
        <v>TUG</v>
      </c>
      <c r="M217" s="1">
        <f t="shared" si="4"/>
        <v>3</v>
      </c>
      <c r="N217" s="1">
        <f t="shared" si="5"/>
        <v>2017</v>
      </c>
    </row>
    <row r="218" ht="15.75" customHeight="1">
      <c r="A218" s="1" t="s">
        <v>14</v>
      </c>
      <c r="B218" s="1">
        <v>8615986.0</v>
      </c>
      <c r="C218" s="1" t="s">
        <v>687</v>
      </c>
      <c r="D218" s="1" t="s">
        <v>728</v>
      </c>
      <c r="E218" s="1" t="s">
        <v>729</v>
      </c>
      <c r="F218" s="1" t="s">
        <v>730</v>
      </c>
      <c r="G218" s="1" t="s">
        <v>19</v>
      </c>
      <c r="H218" s="1" t="s">
        <v>731</v>
      </c>
      <c r="I218" s="1" t="s">
        <v>732</v>
      </c>
      <c r="J218" s="1" t="str">
        <f t="shared" si="1"/>
        <v>Non-Compliant</v>
      </c>
      <c r="K218" s="1" t="str">
        <f t="shared" si="2"/>
        <v>Non-Incentive</v>
      </c>
      <c r="L218" s="1" t="str">
        <f t="shared" si="3"/>
        <v>TUG</v>
      </c>
      <c r="M218" s="1">
        <f t="shared" si="4"/>
        <v>3</v>
      </c>
      <c r="N218" s="1">
        <f t="shared" si="5"/>
        <v>2017</v>
      </c>
    </row>
    <row r="219" ht="15.75" customHeight="1">
      <c r="A219" s="1" t="s">
        <v>14</v>
      </c>
      <c r="B219" s="1">
        <v>8661641.0</v>
      </c>
      <c r="C219" s="1" t="s">
        <v>736</v>
      </c>
      <c r="D219" s="1" t="s">
        <v>742</v>
      </c>
      <c r="E219" s="1" t="s">
        <v>743</v>
      </c>
      <c r="F219" s="1" t="s">
        <v>744</v>
      </c>
      <c r="G219" s="1" t="s">
        <v>37</v>
      </c>
      <c r="H219" s="1" t="s">
        <v>745</v>
      </c>
      <c r="I219" s="1" t="s">
        <v>746</v>
      </c>
      <c r="J219" s="1" t="str">
        <f t="shared" si="1"/>
        <v>Non-Compliant</v>
      </c>
      <c r="K219" s="1" t="str">
        <f t="shared" si="2"/>
        <v>Non-Incentive</v>
      </c>
      <c r="L219" s="1" t="str">
        <f t="shared" si="3"/>
        <v>TUG</v>
      </c>
      <c r="M219" s="1">
        <f t="shared" si="4"/>
        <v>3</v>
      </c>
      <c r="N219" s="1">
        <f t="shared" si="5"/>
        <v>2017</v>
      </c>
    </row>
    <row r="220" ht="15.75" customHeight="1">
      <c r="A220" s="1" t="s">
        <v>14</v>
      </c>
      <c r="B220" s="1">
        <v>8022473.0</v>
      </c>
      <c r="C220" s="1" t="s">
        <v>301</v>
      </c>
      <c r="D220" s="1" t="s">
        <v>302</v>
      </c>
      <c r="E220" s="1" t="s">
        <v>303</v>
      </c>
      <c r="F220" s="1" t="s">
        <v>304</v>
      </c>
      <c r="G220" s="1" t="s">
        <v>19</v>
      </c>
      <c r="H220" s="1" t="s">
        <v>305</v>
      </c>
      <c r="I220" s="1" t="s">
        <v>306</v>
      </c>
      <c r="J220" s="1" t="str">
        <f t="shared" si="1"/>
        <v>Non-Compliant</v>
      </c>
      <c r="K220" s="1" t="str">
        <f t="shared" si="2"/>
        <v>Non-Incentive</v>
      </c>
      <c r="L220" s="1" t="str">
        <f t="shared" si="3"/>
        <v>TUG</v>
      </c>
      <c r="M220" s="1">
        <f t="shared" si="4"/>
        <v>3</v>
      </c>
      <c r="N220" s="1">
        <f t="shared" si="5"/>
        <v>2017</v>
      </c>
    </row>
    <row r="221" ht="15.75" customHeight="1">
      <c r="A221" s="1" t="s">
        <v>14</v>
      </c>
      <c r="B221" s="1">
        <v>7970037.0</v>
      </c>
      <c r="C221" s="1" t="s">
        <v>261</v>
      </c>
      <c r="D221" s="1" t="s">
        <v>277</v>
      </c>
      <c r="E221" s="1" t="s">
        <v>278</v>
      </c>
      <c r="F221" s="1" t="s">
        <v>279</v>
      </c>
      <c r="G221" s="1" t="s">
        <v>19</v>
      </c>
      <c r="H221" s="1" t="s">
        <v>280</v>
      </c>
      <c r="I221" s="1" t="s">
        <v>281</v>
      </c>
      <c r="J221" s="1" t="str">
        <f t="shared" si="1"/>
        <v>Non-Compliant</v>
      </c>
      <c r="K221" s="1" t="str">
        <f t="shared" si="2"/>
        <v>Non-Incentive</v>
      </c>
      <c r="L221" s="1" t="str">
        <f t="shared" si="3"/>
        <v>TUG</v>
      </c>
      <c r="M221" s="1">
        <f t="shared" si="4"/>
        <v>3</v>
      </c>
      <c r="N221" s="1">
        <f t="shared" si="5"/>
        <v>2017</v>
      </c>
    </row>
    <row r="222" ht="15.75" customHeight="1">
      <c r="A222" s="1" t="s">
        <v>14</v>
      </c>
      <c r="B222" s="1">
        <v>9929860.0</v>
      </c>
      <c r="C222" s="1" t="s">
        <v>1214</v>
      </c>
      <c r="D222" s="1" t="s">
        <v>1215</v>
      </c>
      <c r="E222" s="1" t="s">
        <v>1216</v>
      </c>
      <c r="F222" s="1" t="s">
        <v>1217</v>
      </c>
      <c r="G222" s="1" t="s">
        <v>1218</v>
      </c>
      <c r="H222" s="1" t="s">
        <v>1219</v>
      </c>
      <c r="I222" s="1" t="s">
        <v>1220</v>
      </c>
      <c r="J222" s="1" t="str">
        <f t="shared" si="1"/>
        <v>Non-Compliant</v>
      </c>
      <c r="K222" s="1" t="str">
        <f t="shared" si="2"/>
        <v>Non-Incentive</v>
      </c>
      <c r="L222" s="1" t="str">
        <f t="shared" si="3"/>
        <v>TUG</v>
      </c>
      <c r="M222" s="1">
        <f t="shared" si="4"/>
        <v>3</v>
      </c>
      <c r="N222" s="1">
        <f t="shared" si="5"/>
        <v>2017</v>
      </c>
    </row>
    <row r="223" ht="15.75" customHeight="1">
      <c r="A223" s="1" t="s">
        <v>14</v>
      </c>
      <c r="B223" s="1">
        <v>9246037.0</v>
      </c>
      <c r="C223" s="1" t="s">
        <v>1014</v>
      </c>
      <c r="D223" s="1" t="s">
        <v>1019</v>
      </c>
      <c r="E223" s="1" t="s">
        <v>1020</v>
      </c>
      <c r="F223" s="1" t="s">
        <v>1021</v>
      </c>
      <c r="G223" s="1" t="s">
        <v>19</v>
      </c>
      <c r="H223" s="1" t="s">
        <v>1022</v>
      </c>
      <c r="I223" s="1" t="s">
        <v>1023</v>
      </c>
      <c r="J223" s="1" t="str">
        <f t="shared" si="1"/>
        <v>Non-Compliant</v>
      </c>
      <c r="K223" s="1" t="str">
        <f t="shared" si="2"/>
        <v>Non-Incentive</v>
      </c>
      <c r="L223" s="1" t="str">
        <f t="shared" si="3"/>
        <v>TUG</v>
      </c>
      <c r="M223" s="1">
        <f t="shared" si="4"/>
        <v>3</v>
      </c>
      <c r="N223" s="1">
        <f t="shared" si="5"/>
        <v>2017</v>
      </c>
    </row>
    <row r="224" ht="15.75" customHeight="1">
      <c r="A224" s="1" t="s">
        <v>14</v>
      </c>
      <c r="B224" s="1">
        <v>9312599.0</v>
      </c>
      <c r="C224" s="1" t="s">
        <v>1024</v>
      </c>
      <c r="D224" s="1" t="s">
        <v>1025</v>
      </c>
      <c r="E224" s="1" t="s">
        <v>1026</v>
      </c>
      <c r="F224" s="1" t="s">
        <v>1027</v>
      </c>
      <c r="G224" s="1" t="s">
        <v>37</v>
      </c>
      <c r="H224" s="1" t="s">
        <v>1028</v>
      </c>
      <c r="I224" s="1" t="s">
        <v>32</v>
      </c>
      <c r="J224" s="1" t="str">
        <f t="shared" si="1"/>
        <v>Non-Compliant</v>
      </c>
      <c r="K224" s="1" t="str">
        <f t="shared" si="2"/>
        <v>Non-Incentive</v>
      </c>
      <c r="L224" s="1" t="str">
        <f t="shared" si="3"/>
        <v>TUG</v>
      </c>
      <c r="M224" s="1">
        <f t="shared" si="4"/>
        <v>3</v>
      </c>
      <c r="N224" s="1">
        <f t="shared" si="5"/>
        <v>2017</v>
      </c>
    </row>
    <row r="225" ht="15.75" customHeight="1">
      <c r="A225" s="1" t="s">
        <v>14</v>
      </c>
      <c r="B225" s="1">
        <v>9344909.0</v>
      </c>
      <c r="C225" s="1" t="s">
        <v>1038</v>
      </c>
      <c r="D225" s="1" t="s">
        <v>1039</v>
      </c>
      <c r="E225" s="1" t="s">
        <v>1026</v>
      </c>
      <c r="F225" s="1" t="s">
        <v>1040</v>
      </c>
      <c r="G225" s="1" t="s">
        <v>37</v>
      </c>
      <c r="H225" s="1" t="s">
        <v>1041</v>
      </c>
      <c r="I225" s="1" t="s">
        <v>1042</v>
      </c>
      <c r="J225" s="1" t="str">
        <f t="shared" si="1"/>
        <v>Non-Compliant</v>
      </c>
      <c r="K225" s="1" t="str">
        <f t="shared" si="2"/>
        <v>Non-Incentive</v>
      </c>
      <c r="L225" s="1" t="str">
        <f t="shared" si="3"/>
        <v>TUG</v>
      </c>
      <c r="M225" s="1">
        <f t="shared" si="4"/>
        <v>3</v>
      </c>
      <c r="N225" s="1">
        <f t="shared" si="5"/>
        <v>2017</v>
      </c>
    </row>
    <row r="226" ht="15.75" customHeight="1">
      <c r="A226" s="1" t="s">
        <v>14</v>
      </c>
      <c r="B226" s="1">
        <v>7812525.0</v>
      </c>
      <c r="C226" s="1" t="s">
        <v>187</v>
      </c>
      <c r="D226" s="1" t="s">
        <v>188</v>
      </c>
      <c r="E226" s="1" t="s">
        <v>189</v>
      </c>
      <c r="F226" s="1" t="s">
        <v>190</v>
      </c>
      <c r="G226" s="1" t="s">
        <v>19</v>
      </c>
      <c r="H226" s="1" t="s">
        <v>191</v>
      </c>
      <c r="I226" s="1" t="s">
        <v>192</v>
      </c>
      <c r="J226" s="1" t="str">
        <f t="shared" si="1"/>
        <v>Non-Compliant</v>
      </c>
      <c r="K226" s="1" t="str">
        <f t="shared" si="2"/>
        <v>Non-Incentive</v>
      </c>
      <c r="L226" s="1" t="str">
        <f t="shared" si="3"/>
        <v>TUG</v>
      </c>
      <c r="M226" s="1">
        <f t="shared" si="4"/>
        <v>3</v>
      </c>
      <c r="N226" s="1">
        <f t="shared" si="5"/>
        <v>2017</v>
      </c>
    </row>
    <row r="227" ht="15.75" customHeight="1">
      <c r="A227" s="1" t="s">
        <v>14</v>
      </c>
      <c r="B227" s="1">
        <v>7970441.0</v>
      </c>
      <c r="C227" s="1" t="s">
        <v>261</v>
      </c>
      <c r="D227" s="1" t="s">
        <v>282</v>
      </c>
      <c r="E227" s="1" t="s">
        <v>189</v>
      </c>
      <c r="F227" s="1" t="s">
        <v>283</v>
      </c>
      <c r="G227" s="1" t="s">
        <v>19</v>
      </c>
      <c r="H227" s="1" t="s">
        <v>284</v>
      </c>
      <c r="I227" s="1" t="s">
        <v>285</v>
      </c>
      <c r="J227" s="1" t="str">
        <f t="shared" si="1"/>
        <v>Non-Compliant</v>
      </c>
      <c r="K227" s="1" t="str">
        <f t="shared" si="2"/>
        <v>Non-Incentive</v>
      </c>
      <c r="L227" s="1" t="str">
        <f t="shared" si="3"/>
        <v>TUG</v>
      </c>
      <c r="M227" s="1">
        <f t="shared" si="4"/>
        <v>3</v>
      </c>
      <c r="N227" s="1">
        <f t="shared" si="5"/>
        <v>2017</v>
      </c>
    </row>
    <row r="228" ht="15.75" customHeight="1">
      <c r="A228" s="1" t="s">
        <v>14</v>
      </c>
      <c r="B228" s="1">
        <v>7984652.0</v>
      </c>
      <c r="C228" s="1" t="s">
        <v>290</v>
      </c>
      <c r="D228" s="1" t="s">
        <v>291</v>
      </c>
      <c r="E228" s="1" t="s">
        <v>292</v>
      </c>
      <c r="F228" s="1" t="s">
        <v>293</v>
      </c>
      <c r="G228" s="1" t="s">
        <v>19</v>
      </c>
      <c r="H228" s="1" t="s">
        <v>294</v>
      </c>
      <c r="I228" s="1" t="s">
        <v>295</v>
      </c>
      <c r="J228" s="1" t="str">
        <f t="shared" si="1"/>
        <v>Non-Compliant</v>
      </c>
      <c r="K228" s="1" t="str">
        <f t="shared" si="2"/>
        <v>Non-Incentive</v>
      </c>
      <c r="L228" s="1" t="str">
        <f t="shared" si="3"/>
        <v>TUG</v>
      </c>
      <c r="M228" s="1">
        <f t="shared" si="4"/>
        <v>3</v>
      </c>
      <c r="N228" s="1">
        <f t="shared" si="5"/>
        <v>2017</v>
      </c>
    </row>
    <row r="229" ht="15.75" customHeight="1">
      <c r="A229" s="1" t="s">
        <v>14</v>
      </c>
      <c r="B229" s="1">
        <v>8018847.0</v>
      </c>
      <c r="C229" s="1" t="s">
        <v>296</v>
      </c>
      <c r="D229" s="1" t="s">
        <v>297</v>
      </c>
      <c r="E229" s="1" t="s">
        <v>292</v>
      </c>
      <c r="F229" s="1" t="s">
        <v>298</v>
      </c>
      <c r="G229" s="1" t="s">
        <v>19</v>
      </c>
      <c r="H229" s="1" t="s">
        <v>299</v>
      </c>
      <c r="I229" s="1" t="s">
        <v>300</v>
      </c>
      <c r="J229" s="1" t="str">
        <f t="shared" si="1"/>
        <v>Non-Compliant</v>
      </c>
      <c r="K229" s="1" t="str">
        <f t="shared" si="2"/>
        <v>Non-Incentive</v>
      </c>
      <c r="L229" s="1" t="str">
        <f t="shared" si="3"/>
        <v>TUG</v>
      </c>
      <c r="M229" s="1">
        <f t="shared" si="4"/>
        <v>3</v>
      </c>
      <c r="N229" s="1">
        <f t="shared" si="5"/>
        <v>2017</v>
      </c>
    </row>
    <row r="230" ht="15.75" customHeight="1">
      <c r="A230" s="1" t="s">
        <v>14</v>
      </c>
      <c r="B230" s="1">
        <v>1466520.0</v>
      </c>
      <c r="C230" s="1" t="s">
        <v>1465</v>
      </c>
      <c r="D230" s="1" t="s">
        <v>1466</v>
      </c>
      <c r="E230" s="1" t="s">
        <v>1467</v>
      </c>
      <c r="F230" s="1" t="s">
        <v>1468</v>
      </c>
      <c r="G230" s="1" t="s">
        <v>19</v>
      </c>
      <c r="H230" s="1" t="s">
        <v>1469</v>
      </c>
      <c r="I230" s="1" t="s">
        <v>1470</v>
      </c>
      <c r="J230" s="1" t="str">
        <f t="shared" si="1"/>
        <v>Non-Compliant</v>
      </c>
      <c r="K230" s="1" t="str">
        <f t="shared" si="2"/>
        <v>Non-Incentive</v>
      </c>
      <c r="L230" s="1" t="str">
        <f t="shared" si="3"/>
        <v>TUG</v>
      </c>
      <c r="M230" s="1">
        <f t="shared" si="4"/>
        <v>3</v>
      </c>
      <c r="N230" s="1">
        <f t="shared" si="5"/>
        <v>2017</v>
      </c>
    </row>
    <row r="231" ht="15.75" customHeight="1">
      <c r="A231" s="1" t="s">
        <v>14</v>
      </c>
      <c r="B231" s="1">
        <v>1568268.0</v>
      </c>
      <c r="C231" s="1" t="s">
        <v>1534</v>
      </c>
      <c r="D231" s="1" t="s">
        <v>1539</v>
      </c>
      <c r="E231" s="1" t="s">
        <v>1467</v>
      </c>
      <c r="F231" s="1" t="s">
        <v>1540</v>
      </c>
      <c r="G231" s="1" t="s">
        <v>19</v>
      </c>
      <c r="H231" s="1" t="s">
        <v>1541</v>
      </c>
      <c r="I231" s="1" t="s">
        <v>1542</v>
      </c>
      <c r="J231" s="1" t="str">
        <f t="shared" si="1"/>
        <v>Non-Compliant</v>
      </c>
      <c r="K231" s="1" t="str">
        <f t="shared" si="2"/>
        <v>Non-Incentive</v>
      </c>
      <c r="L231" s="1" t="str">
        <f t="shared" si="3"/>
        <v>TUG</v>
      </c>
      <c r="M231" s="1">
        <f t="shared" si="4"/>
        <v>3</v>
      </c>
      <c r="N231" s="1">
        <f t="shared" si="5"/>
        <v>2017</v>
      </c>
    </row>
    <row r="232" ht="15.75" customHeight="1">
      <c r="A232" s="1" t="s">
        <v>14</v>
      </c>
      <c r="B232" s="1">
        <v>1547350.0</v>
      </c>
      <c r="C232" s="1" t="s">
        <v>1522</v>
      </c>
      <c r="D232" s="1" t="s">
        <v>1526</v>
      </c>
      <c r="E232" s="1" t="s">
        <v>1527</v>
      </c>
      <c r="F232" s="1" t="s">
        <v>1528</v>
      </c>
      <c r="G232" s="1" t="s">
        <v>37</v>
      </c>
      <c r="H232" s="1" t="s">
        <v>1529</v>
      </c>
      <c r="I232" s="1" t="s">
        <v>1496</v>
      </c>
      <c r="J232" s="1" t="str">
        <f t="shared" si="1"/>
        <v>Non-Compliant</v>
      </c>
      <c r="K232" s="1" t="str">
        <f t="shared" si="2"/>
        <v>Non-Incentive</v>
      </c>
      <c r="L232" s="1" t="str">
        <f t="shared" si="3"/>
        <v>TUG</v>
      </c>
      <c r="M232" s="1">
        <f t="shared" si="4"/>
        <v>3</v>
      </c>
      <c r="N232" s="1">
        <f t="shared" si="5"/>
        <v>2017</v>
      </c>
    </row>
    <row r="233" ht="15.75" customHeight="1">
      <c r="A233" s="1" t="s">
        <v>14</v>
      </c>
      <c r="B233" s="1">
        <v>9949379.0</v>
      </c>
      <c r="C233" s="1" t="s">
        <v>1214</v>
      </c>
      <c r="D233" s="1" t="s">
        <v>1221</v>
      </c>
      <c r="E233" s="1" t="s">
        <v>1222</v>
      </c>
      <c r="F233" s="1" t="s">
        <v>1223</v>
      </c>
      <c r="G233" s="1" t="s">
        <v>19</v>
      </c>
      <c r="H233" s="1" t="s">
        <v>1224</v>
      </c>
      <c r="I233" s="1" t="s">
        <v>1132</v>
      </c>
      <c r="J233" s="1" t="str">
        <f t="shared" si="1"/>
        <v>Non-Compliant</v>
      </c>
      <c r="K233" s="1" t="str">
        <f t="shared" si="2"/>
        <v>Non-Incentive</v>
      </c>
      <c r="L233" s="1" t="str">
        <f t="shared" si="3"/>
        <v>TUG</v>
      </c>
      <c r="M233" s="1">
        <f t="shared" si="4"/>
        <v>3</v>
      </c>
      <c r="N233" s="1">
        <f t="shared" si="5"/>
        <v>2017</v>
      </c>
    </row>
    <row r="234" ht="15.75" customHeight="1">
      <c r="A234" s="1" t="s">
        <v>14</v>
      </c>
      <c r="B234" s="1">
        <v>9353344.0</v>
      </c>
      <c r="C234" s="1" t="s">
        <v>1038</v>
      </c>
      <c r="D234" s="1" t="s">
        <v>1048</v>
      </c>
      <c r="E234" s="1" t="s">
        <v>1035</v>
      </c>
      <c r="F234" s="1" t="s">
        <v>1049</v>
      </c>
      <c r="G234" s="1" t="s">
        <v>37</v>
      </c>
      <c r="H234" s="1" t="s">
        <v>1050</v>
      </c>
      <c r="I234" s="1" t="s">
        <v>1051</v>
      </c>
      <c r="J234" s="1" t="str">
        <f t="shared" si="1"/>
        <v>Non-Compliant</v>
      </c>
      <c r="K234" s="1" t="str">
        <f t="shared" si="2"/>
        <v>Non-Incentive</v>
      </c>
      <c r="L234" s="1" t="str">
        <f t="shared" si="3"/>
        <v>TUG</v>
      </c>
      <c r="M234" s="1">
        <f t="shared" si="4"/>
        <v>3</v>
      </c>
      <c r="N234" s="1">
        <f t="shared" si="5"/>
        <v>2017</v>
      </c>
    </row>
    <row r="235" ht="15.75" customHeight="1">
      <c r="A235" s="1" t="s">
        <v>14</v>
      </c>
      <c r="B235" s="1">
        <v>9330767.0</v>
      </c>
      <c r="C235" s="1" t="s">
        <v>1024</v>
      </c>
      <c r="D235" s="1" t="s">
        <v>1034</v>
      </c>
      <c r="E235" s="1" t="s">
        <v>1035</v>
      </c>
      <c r="F235" s="1" t="s">
        <v>1036</v>
      </c>
      <c r="G235" s="1" t="s">
        <v>37</v>
      </c>
      <c r="H235" s="1" t="s">
        <v>1037</v>
      </c>
      <c r="I235" s="1" t="s">
        <v>998</v>
      </c>
      <c r="J235" s="1" t="str">
        <f t="shared" si="1"/>
        <v>Non-Compliant</v>
      </c>
      <c r="K235" s="1" t="str">
        <f t="shared" si="2"/>
        <v>Non-Incentive</v>
      </c>
      <c r="L235" s="1" t="str">
        <f t="shared" si="3"/>
        <v>TUG</v>
      </c>
      <c r="M235" s="1">
        <f t="shared" si="4"/>
        <v>3</v>
      </c>
      <c r="N235" s="1">
        <f t="shared" si="5"/>
        <v>2017</v>
      </c>
    </row>
    <row r="236" ht="15.75" customHeight="1">
      <c r="A236" s="1" t="s">
        <v>14</v>
      </c>
      <c r="B236" s="1">
        <v>8610604.0</v>
      </c>
      <c r="C236" s="1" t="s">
        <v>687</v>
      </c>
      <c r="D236" s="1" t="s">
        <v>720</v>
      </c>
      <c r="E236" s="1" t="s">
        <v>721</v>
      </c>
      <c r="F236" s="1" t="s">
        <v>722</v>
      </c>
      <c r="G236" s="1" t="s">
        <v>19</v>
      </c>
      <c r="H236" s="1" t="s">
        <v>723</v>
      </c>
      <c r="I236" s="1" t="s">
        <v>724</v>
      </c>
      <c r="J236" s="1" t="str">
        <f t="shared" si="1"/>
        <v>Non-Compliant</v>
      </c>
      <c r="K236" s="1" t="str">
        <f t="shared" si="2"/>
        <v>Non-Incentive</v>
      </c>
      <c r="L236" s="1" t="str">
        <f t="shared" si="3"/>
        <v>TUG</v>
      </c>
      <c r="M236" s="1">
        <f t="shared" si="4"/>
        <v>3</v>
      </c>
      <c r="N236" s="1">
        <f t="shared" si="5"/>
        <v>2017</v>
      </c>
    </row>
    <row r="237" ht="15.75" customHeight="1">
      <c r="A237" s="1" t="s">
        <v>14</v>
      </c>
      <c r="B237" s="1">
        <v>8660236.0</v>
      </c>
      <c r="C237" s="1" t="s">
        <v>736</v>
      </c>
      <c r="D237" s="1" t="s">
        <v>737</v>
      </c>
      <c r="E237" s="1" t="s">
        <v>738</v>
      </c>
      <c r="F237" s="1" t="s">
        <v>739</v>
      </c>
      <c r="G237" s="1" t="s">
        <v>19</v>
      </c>
      <c r="H237" s="1" t="s">
        <v>740</v>
      </c>
      <c r="I237" s="1" t="s">
        <v>741</v>
      </c>
      <c r="J237" s="1" t="str">
        <f t="shared" si="1"/>
        <v>Non-Compliant</v>
      </c>
      <c r="K237" s="1" t="str">
        <f t="shared" si="2"/>
        <v>Non-Incentive</v>
      </c>
      <c r="L237" s="1" t="str">
        <f t="shared" si="3"/>
        <v>TUG</v>
      </c>
      <c r="M237" s="1">
        <f t="shared" si="4"/>
        <v>3</v>
      </c>
      <c r="N237" s="1">
        <f t="shared" si="5"/>
        <v>2017</v>
      </c>
    </row>
    <row r="238" ht="15.75" customHeight="1">
      <c r="A238" s="1" t="s">
        <v>14</v>
      </c>
      <c r="B238" s="1">
        <v>8065602.0</v>
      </c>
      <c r="C238" s="1" t="s">
        <v>316</v>
      </c>
      <c r="D238" s="1" t="s">
        <v>330</v>
      </c>
      <c r="E238" s="1" t="s">
        <v>331</v>
      </c>
      <c r="F238" s="1" t="s">
        <v>332</v>
      </c>
      <c r="G238" s="1" t="s">
        <v>37</v>
      </c>
      <c r="H238" s="1" t="s">
        <v>333</v>
      </c>
      <c r="I238" s="1" t="s">
        <v>334</v>
      </c>
      <c r="J238" s="1" t="str">
        <f t="shared" si="1"/>
        <v>Non-Compliant</v>
      </c>
      <c r="K238" s="1" t="str">
        <f t="shared" si="2"/>
        <v>Non-Incentive</v>
      </c>
      <c r="L238" s="1" t="str">
        <f t="shared" si="3"/>
        <v>TUG</v>
      </c>
      <c r="M238" s="1">
        <f t="shared" si="4"/>
        <v>3</v>
      </c>
      <c r="N238" s="1">
        <f t="shared" si="5"/>
        <v>2017</v>
      </c>
    </row>
    <row r="239" ht="15.75" customHeight="1">
      <c r="A239" s="1" t="s">
        <v>14</v>
      </c>
      <c r="B239" s="1">
        <v>8035307.0</v>
      </c>
      <c r="C239" s="1" t="s">
        <v>301</v>
      </c>
      <c r="D239" s="1" t="s">
        <v>307</v>
      </c>
      <c r="E239" s="1" t="s">
        <v>308</v>
      </c>
      <c r="F239" s="1" t="s">
        <v>309</v>
      </c>
      <c r="G239" s="1" t="s">
        <v>19</v>
      </c>
      <c r="H239" s="1" t="s">
        <v>310</v>
      </c>
      <c r="I239" s="1" t="s">
        <v>311</v>
      </c>
      <c r="J239" s="1" t="str">
        <f t="shared" si="1"/>
        <v>Non-Compliant</v>
      </c>
      <c r="K239" s="1" t="str">
        <f t="shared" si="2"/>
        <v>Non-Incentive</v>
      </c>
      <c r="L239" s="1" t="str">
        <f t="shared" si="3"/>
        <v>TUG</v>
      </c>
      <c r="M239" s="1">
        <f t="shared" si="4"/>
        <v>3</v>
      </c>
      <c r="N239" s="1">
        <f t="shared" si="5"/>
        <v>2017</v>
      </c>
    </row>
    <row r="240" ht="15.75" customHeight="1">
      <c r="A240" s="1" t="s">
        <v>14</v>
      </c>
      <c r="B240" s="1">
        <v>1546285.0</v>
      </c>
      <c r="C240" s="1" t="s">
        <v>1522</v>
      </c>
      <c r="D240" s="1" t="s">
        <v>1523</v>
      </c>
      <c r="E240" s="1" t="s">
        <v>1503</v>
      </c>
      <c r="F240" s="1" t="s">
        <v>1524</v>
      </c>
      <c r="G240" s="1" t="s">
        <v>19</v>
      </c>
      <c r="H240" s="1" t="s">
        <v>1525</v>
      </c>
      <c r="I240" s="1" t="s">
        <v>1325</v>
      </c>
      <c r="J240" s="1" t="str">
        <f t="shared" si="1"/>
        <v>Non-Compliant</v>
      </c>
      <c r="K240" s="1" t="str">
        <f t="shared" si="2"/>
        <v>Non-Incentive</v>
      </c>
      <c r="L240" s="1" t="str">
        <f t="shared" si="3"/>
        <v>TUG</v>
      </c>
      <c r="M240" s="1">
        <f t="shared" si="4"/>
        <v>3</v>
      </c>
      <c r="N240" s="1">
        <f t="shared" si="5"/>
        <v>2017</v>
      </c>
    </row>
    <row r="241" ht="15.75" customHeight="1">
      <c r="A241" s="1" t="s">
        <v>14</v>
      </c>
      <c r="B241" s="1">
        <v>1487979.0</v>
      </c>
      <c r="C241" s="1" t="s">
        <v>1491</v>
      </c>
      <c r="D241" s="1" t="s">
        <v>1502</v>
      </c>
      <c r="E241" s="1" t="s">
        <v>1503</v>
      </c>
      <c r="F241" s="1" t="s">
        <v>1473</v>
      </c>
      <c r="G241" s="1" t="s">
        <v>19</v>
      </c>
      <c r="H241" s="1" t="s">
        <v>1504</v>
      </c>
      <c r="I241" s="1" t="s">
        <v>1475</v>
      </c>
      <c r="J241" s="1" t="str">
        <f t="shared" si="1"/>
        <v>Non-Compliant</v>
      </c>
      <c r="K241" s="1" t="str">
        <f t="shared" si="2"/>
        <v>Non-Incentive</v>
      </c>
      <c r="L241" s="1" t="str">
        <f t="shared" si="3"/>
        <v>TUG</v>
      </c>
      <c r="M241" s="1">
        <f t="shared" si="4"/>
        <v>3</v>
      </c>
      <c r="N241" s="1">
        <f t="shared" si="5"/>
        <v>2017</v>
      </c>
    </row>
    <row r="242" ht="15.75" customHeight="1">
      <c r="A242" s="1" t="s">
        <v>14</v>
      </c>
      <c r="B242" s="1">
        <v>1566061.0</v>
      </c>
      <c r="C242" s="1" t="s">
        <v>1534</v>
      </c>
      <c r="D242" s="1" t="s">
        <v>1535</v>
      </c>
      <c r="E242" s="1" t="s">
        <v>1536</v>
      </c>
      <c r="F242" s="1" t="s">
        <v>1537</v>
      </c>
      <c r="G242" s="1" t="s">
        <v>37</v>
      </c>
      <c r="H242" s="1" t="s">
        <v>1538</v>
      </c>
      <c r="I242" s="1" t="s">
        <v>111</v>
      </c>
      <c r="J242" s="1" t="str">
        <f t="shared" si="1"/>
        <v>Non-Compliant</v>
      </c>
      <c r="K242" s="1" t="str">
        <f t="shared" si="2"/>
        <v>Non-Incentive</v>
      </c>
      <c r="L242" s="1" t="str">
        <f t="shared" si="3"/>
        <v>TUG</v>
      </c>
      <c r="M242" s="1">
        <f t="shared" si="4"/>
        <v>3</v>
      </c>
      <c r="N242" s="1">
        <f t="shared" si="5"/>
        <v>2017</v>
      </c>
    </row>
    <row r="243" ht="15.75" customHeight="1">
      <c r="A243" s="1" t="s">
        <v>14</v>
      </c>
      <c r="B243" s="1">
        <v>8708114.0</v>
      </c>
      <c r="C243" s="1" t="s">
        <v>753</v>
      </c>
      <c r="D243" s="1" t="s">
        <v>758</v>
      </c>
      <c r="E243" s="1" t="s">
        <v>759</v>
      </c>
      <c r="F243" s="1" t="s">
        <v>760</v>
      </c>
      <c r="G243" s="1" t="s">
        <v>37</v>
      </c>
      <c r="H243" s="1" t="s">
        <v>761</v>
      </c>
      <c r="I243" s="1" t="s">
        <v>762</v>
      </c>
      <c r="J243" s="1" t="str">
        <f t="shared" si="1"/>
        <v>Non-Compliant</v>
      </c>
      <c r="K243" s="1" t="str">
        <f t="shared" si="2"/>
        <v>Non-Incentive</v>
      </c>
      <c r="L243" s="1" t="str">
        <f t="shared" si="3"/>
        <v>TUG</v>
      </c>
      <c r="M243" s="1">
        <f t="shared" si="4"/>
        <v>3</v>
      </c>
      <c r="N243" s="1">
        <f t="shared" si="5"/>
        <v>2017</v>
      </c>
    </row>
    <row r="244" ht="15.75" customHeight="1">
      <c r="A244" s="1" t="s">
        <v>14</v>
      </c>
      <c r="B244" s="1">
        <v>1622551.0</v>
      </c>
      <c r="C244" s="1" t="s">
        <v>1553</v>
      </c>
      <c r="D244" s="1" t="s">
        <v>1568</v>
      </c>
      <c r="E244" s="1" t="s">
        <v>1549</v>
      </c>
      <c r="F244" s="1" t="s">
        <v>1569</v>
      </c>
      <c r="G244" s="1" t="s">
        <v>19</v>
      </c>
      <c r="H244" s="1" t="s">
        <v>1570</v>
      </c>
      <c r="I244" s="1" t="s">
        <v>1571</v>
      </c>
      <c r="J244" s="1" t="str">
        <f t="shared" si="1"/>
        <v>Non-Compliant</v>
      </c>
      <c r="K244" s="1" t="str">
        <f t="shared" si="2"/>
        <v>Non-Incentive</v>
      </c>
      <c r="L244" s="1" t="str">
        <f t="shared" si="3"/>
        <v>TUG</v>
      </c>
      <c r="M244" s="1">
        <f t="shared" si="4"/>
        <v>3</v>
      </c>
      <c r="N244" s="1">
        <f t="shared" si="5"/>
        <v>2017</v>
      </c>
    </row>
    <row r="245" ht="15.75" customHeight="1">
      <c r="A245" s="1" t="s">
        <v>14</v>
      </c>
      <c r="B245" s="1">
        <v>1630870.0</v>
      </c>
      <c r="C245" s="1" t="s">
        <v>1553</v>
      </c>
      <c r="D245" s="1" t="s">
        <v>1575</v>
      </c>
      <c r="E245" s="1" t="s">
        <v>1549</v>
      </c>
      <c r="F245" s="1" t="s">
        <v>1576</v>
      </c>
      <c r="G245" s="1" t="s">
        <v>19</v>
      </c>
      <c r="H245" s="1" t="s">
        <v>1577</v>
      </c>
      <c r="I245" s="1" t="s">
        <v>1578</v>
      </c>
      <c r="J245" s="1" t="str">
        <f t="shared" si="1"/>
        <v>Non-Compliant</v>
      </c>
      <c r="K245" s="1" t="str">
        <f t="shared" si="2"/>
        <v>Non-Incentive</v>
      </c>
      <c r="L245" s="1" t="str">
        <f t="shared" si="3"/>
        <v>TUG</v>
      </c>
      <c r="M245" s="1">
        <f t="shared" si="4"/>
        <v>3</v>
      </c>
      <c r="N245" s="1">
        <f t="shared" si="5"/>
        <v>2017</v>
      </c>
    </row>
    <row r="246" ht="15.75" customHeight="1">
      <c r="A246" s="1" t="s">
        <v>14</v>
      </c>
      <c r="B246" s="1">
        <v>1580068.0</v>
      </c>
      <c r="C246" s="1" t="s">
        <v>1534</v>
      </c>
      <c r="D246" s="1" t="s">
        <v>1548</v>
      </c>
      <c r="E246" s="1" t="s">
        <v>1549</v>
      </c>
      <c r="F246" s="1" t="s">
        <v>1550</v>
      </c>
      <c r="G246" s="1" t="s">
        <v>19</v>
      </c>
      <c r="H246" s="1" t="s">
        <v>1551</v>
      </c>
      <c r="I246" s="1" t="s">
        <v>1552</v>
      </c>
      <c r="J246" s="1" t="str">
        <f t="shared" si="1"/>
        <v>Non-Compliant</v>
      </c>
      <c r="K246" s="1" t="str">
        <f t="shared" si="2"/>
        <v>Non-Incentive</v>
      </c>
      <c r="L246" s="1" t="str">
        <f t="shared" si="3"/>
        <v>TUG</v>
      </c>
      <c r="M246" s="1">
        <f t="shared" si="4"/>
        <v>3</v>
      </c>
      <c r="N246" s="1">
        <f t="shared" si="5"/>
        <v>2017</v>
      </c>
    </row>
    <row r="247" ht="15.75" customHeight="1">
      <c r="A247" s="1" t="s">
        <v>14</v>
      </c>
      <c r="B247" s="1">
        <v>1579668.0</v>
      </c>
      <c r="C247" s="1" t="s">
        <v>1534</v>
      </c>
      <c r="D247" s="1" t="s">
        <v>1543</v>
      </c>
      <c r="E247" s="1" t="s">
        <v>1544</v>
      </c>
      <c r="F247" s="1" t="s">
        <v>1545</v>
      </c>
      <c r="G247" s="1" t="s">
        <v>19</v>
      </c>
      <c r="H247" s="1" t="s">
        <v>1546</v>
      </c>
      <c r="I247" s="1" t="s">
        <v>1547</v>
      </c>
      <c r="J247" s="1" t="str">
        <f t="shared" si="1"/>
        <v>Non-Compliant</v>
      </c>
      <c r="K247" s="1" t="str">
        <f t="shared" si="2"/>
        <v>Non-Incentive</v>
      </c>
      <c r="L247" s="1" t="str">
        <f t="shared" si="3"/>
        <v>TUG</v>
      </c>
      <c r="M247" s="1">
        <f t="shared" si="4"/>
        <v>3</v>
      </c>
      <c r="N247" s="1">
        <f t="shared" si="5"/>
        <v>2017</v>
      </c>
    </row>
    <row r="248" ht="15.75" customHeight="1">
      <c r="A248" s="1" t="s">
        <v>14</v>
      </c>
      <c r="B248" s="1">
        <v>1657961.0</v>
      </c>
      <c r="C248" s="1" t="s">
        <v>1579</v>
      </c>
      <c r="D248" s="1" t="s">
        <v>1580</v>
      </c>
      <c r="E248" s="1" t="s">
        <v>1581</v>
      </c>
      <c r="F248" s="1" t="s">
        <v>1582</v>
      </c>
      <c r="G248" s="1" t="s">
        <v>37</v>
      </c>
      <c r="H248" s="1" t="s">
        <v>1583</v>
      </c>
      <c r="I248" s="1" t="s">
        <v>1584</v>
      </c>
      <c r="J248" s="1" t="str">
        <f t="shared" si="1"/>
        <v>Non-Compliant</v>
      </c>
      <c r="K248" s="1" t="str">
        <f t="shared" si="2"/>
        <v>Non-Incentive</v>
      </c>
      <c r="L248" s="1" t="str">
        <f t="shared" si="3"/>
        <v>TUG</v>
      </c>
      <c r="M248" s="1">
        <f t="shared" si="4"/>
        <v>3</v>
      </c>
      <c r="N248" s="1">
        <f t="shared" si="5"/>
        <v>2017</v>
      </c>
    </row>
    <row r="249" ht="15.75" customHeight="1">
      <c r="A249" s="1" t="s">
        <v>14</v>
      </c>
      <c r="B249" s="1">
        <v>9361492.0</v>
      </c>
      <c r="C249" s="1" t="s">
        <v>1038</v>
      </c>
      <c r="D249" s="1" t="s">
        <v>1052</v>
      </c>
      <c r="E249" s="1" t="s">
        <v>1053</v>
      </c>
      <c r="F249" s="1" t="s">
        <v>1017</v>
      </c>
      <c r="G249" s="1" t="s">
        <v>37</v>
      </c>
      <c r="H249" s="1" t="s">
        <v>1054</v>
      </c>
      <c r="I249" s="1" t="s">
        <v>32</v>
      </c>
      <c r="J249" s="1" t="str">
        <f t="shared" si="1"/>
        <v>Non-Compliant</v>
      </c>
      <c r="K249" s="1" t="str">
        <f t="shared" si="2"/>
        <v>Non-Incentive</v>
      </c>
      <c r="L249" s="1" t="str">
        <f t="shared" si="3"/>
        <v>TUG</v>
      </c>
      <c r="M249" s="1">
        <f t="shared" si="4"/>
        <v>3</v>
      </c>
      <c r="N249" s="1">
        <f t="shared" si="5"/>
        <v>2017</v>
      </c>
    </row>
    <row r="250" ht="15.75" customHeight="1">
      <c r="A250" s="1" t="s">
        <v>14</v>
      </c>
      <c r="B250" s="1">
        <v>8687607.0</v>
      </c>
      <c r="C250" s="1" t="s">
        <v>747</v>
      </c>
      <c r="D250" s="1" t="s">
        <v>748</v>
      </c>
      <c r="E250" s="1" t="s">
        <v>749</v>
      </c>
      <c r="F250" s="1" t="s">
        <v>750</v>
      </c>
      <c r="G250" s="1" t="s">
        <v>19</v>
      </c>
      <c r="H250" s="1" t="s">
        <v>751</v>
      </c>
      <c r="I250" s="1" t="s">
        <v>752</v>
      </c>
      <c r="J250" s="1" t="str">
        <f t="shared" si="1"/>
        <v>Non-Compliant</v>
      </c>
      <c r="K250" s="1" t="str">
        <f t="shared" si="2"/>
        <v>Non-Incentive</v>
      </c>
      <c r="L250" s="1" t="str">
        <f t="shared" si="3"/>
        <v>TUG</v>
      </c>
      <c r="M250" s="1">
        <f t="shared" si="4"/>
        <v>3</v>
      </c>
      <c r="N250" s="1">
        <f t="shared" si="5"/>
        <v>2017</v>
      </c>
    </row>
    <row r="251" ht="15.75" customHeight="1">
      <c r="A251" s="1" t="s">
        <v>14</v>
      </c>
      <c r="B251" s="1">
        <v>8055596.0</v>
      </c>
      <c r="C251" s="1" t="s">
        <v>316</v>
      </c>
      <c r="D251" s="1" t="s">
        <v>317</v>
      </c>
      <c r="E251" s="1" t="s">
        <v>318</v>
      </c>
      <c r="F251" s="1" t="s">
        <v>319</v>
      </c>
      <c r="G251" s="1" t="s">
        <v>19</v>
      </c>
      <c r="H251" s="1" t="s">
        <v>320</v>
      </c>
      <c r="I251" s="1" t="s">
        <v>321</v>
      </c>
      <c r="J251" s="1" t="str">
        <f t="shared" si="1"/>
        <v>Non-Compliant</v>
      </c>
      <c r="K251" s="1" t="str">
        <f t="shared" si="2"/>
        <v>Non-Incentive</v>
      </c>
      <c r="L251" s="1" t="str">
        <f t="shared" si="3"/>
        <v>TUG</v>
      </c>
      <c r="M251" s="1">
        <f t="shared" si="4"/>
        <v>3</v>
      </c>
      <c r="N251" s="1">
        <f t="shared" si="5"/>
        <v>2017</v>
      </c>
    </row>
    <row r="252" ht="15.75" customHeight="1">
      <c r="A252" s="1" t="s">
        <v>14</v>
      </c>
      <c r="B252" s="1">
        <v>7944561.0</v>
      </c>
      <c r="C252" s="1" t="s">
        <v>245</v>
      </c>
      <c r="D252" s="1" t="s">
        <v>253</v>
      </c>
      <c r="E252" s="1" t="s">
        <v>254</v>
      </c>
      <c r="F252" s="1" t="s">
        <v>255</v>
      </c>
      <c r="G252" s="1" t="s">
        <v>19</v>
      </c>
      <c r="H252" s="1" t="s">
        <v>256</v>
      </c>
      <c r="I252" s="1" t="s">
        <v>257</v>
      </c>
      <c r="J252" s="1" t="str">
        <f t="shared" si="1"/>
        <v>Non-Compliant</v>
      </c>
      <c r="K252" s="1" t="str">
        <f t="shared" si="2"/>
        <v>Non-Incentive</v>
      </c>
      <c r="L252" s="1" t="str">
        <f t="shared" si="3"/>
        <v>TUG</v>
      </c>
      <c r="M252" s="1">
        <f t="shared" si="4"/>
        <v>3</v>
      </c>
      <c r="N252" s="1">
        <f t="shared" si="5"/>
        <v>2017</v>
      </c>
    </row>
    <row r="253" ht="15.75" customHeight="1">
      <c r="A253" s="1" t="s">
        <v>14</v>
      </c>
      <c r="B253" s="1">
        <v>1622558.0</v>
      </c>
      <c r="C253" s="1" t="s">
        <v>1553</v>
      </c>
      <c r="D253" s="1" t="s">
        <v>1572</v>
      </c>
      <c r="E253" s="1" t="s">
        <v>1573</v>
      </c>
      <c r="F253" s="1" t="s">
        <v>1569</v>
      </c>
      <c r="G253" s="1" t="s">
        <v>19</v>
      </c>
      <c r="H253" s="1" t="s">
        <v>1574</v>
      </c>
      <c r="I253" s="1" t="s">
        <v>1571</v>
      </c>
      <c r="J253" s="1" t="str">
        <f t="shared" si="1"/>
        <v>Non-Compliant</v>
      </c>
      <c r="K253" s="1" t="str">
        <f t="shared" si="2"/>
        <v>Non-Incentive</v>
      </c>
      <c r="L253" s="1" t="str">
        <f t="shared" si="3"/>
        <v>TUG</v>
      </c>
      <c r="M253" s="1">
        <f t="shared" si="4"/>
        <v>3</v>
      </c>
      <c r="N253" s="1">
        <f t="shared" si="5"/>
        <v>2017</v>
      </c>
    </row>
    <row r="254" ht="15.75" customHeight="1">
      <c r="A254" s="1" t="s">
        <v>14</v>
      </c>
      <c r="B254" s="1">
        <v>1670652.0</v>
      </c>
      <c r="C254" s="1" t="s">
        <v>1585</v>
      </c>
      <c r="D254" s="1" t="s">
        <v>1590</v>
      </c>
      <c r="E254" s="1" t="s">
        <v>1591</v>
      </c>
      <c r="F254" s="1" t="s">
        <v>1592</v>
      </c>
      <c r="G254" s="1" t="s">
        <v>19</v>
      </c>
      <c r="H254" s="1" t="s">
        <v>1593</v>
      </c>
      <c r="I254" s="1" t="s">
        <v>1594</v>
      </c>
      <c r="J254" s="1" t="str">
        <f t="shared" si="1"/>
        <v>Non-Compliant</v>
      </c>
      <c r="K254" s="1" t="str">
        <f t="shared" si="2"/>
        <v>Non-Incentive</v>
      </c>
      <c r="L254" s="1" t="str">
        <f t="shared" si="3"/>
        <v>TUG</v>
      </c>
      <c r="M254" s="1">
        <f t="shared" si="4"/>
        <v>3</v>
      </c>
      <c r="N254" s="1">
        <f t="shared" si="5"/>
        <v>2017</v>
      </c>
    </row>
    <row r="255" ht="15.75" customHeight="1">
      <c r="A255" s="1" t="s">
        <v>14</v>
      </c>
      <c r="B255" s="1">
        <v>1609603.0</v>
      </c>
      <c r="C255" s="1" t="s">
        <v>1553</v>
      </c>
      <c r="D255" s="1" t="s">
        <v>1554</v>
      </c>
      <c r="E255" s="1" t="s">
        <v>1555</v>
      </c>
      <c r="F255" s="1" t="s">
        <v>1556</v>
      </c>
      <c r="G255" s="1" t="s">
        <v>37</v>
      </c>
      <c r="H255" s="1" t="s">
        <v>1557</v>
      </c>
      <c r="I255" s="1" t="s">
        <v>1496</v>
      </c>
      <c r="J255" s="1" t="str">
        <f t="shared" si="1"/>
        <v>Non-Compliant</v>
      </c>
      <c r="K255" s="1" t="str">
        <f t="shared" si="2"/>
        <v>Non-Incentive</v>
      </c>
      <c r="L255" s="1" t="str">
        <f t="shared" si="3"/>
        <v>TUG</v>
      </c>
      <c r="M255" s="1">
        <f t="shared" si="4"/>
        <v>3</v>
      </c>
      <c r="N255" s="1">
        <f t="shared" si="5"/>
        <v>2017</v>
      </c>
    </row>
    <row r="256" ht="15.75" customHeight="1">
      <c r="A256" s="1" t="s">
        <v>14</v>
      </c>
      <c r="B256" s="1">
        <v>1673346.0</v>
      </c>
      <c r="C256" s="1" t="s">
        <v>1585</v>
      </c>
      <c r="D256" s="1" t="s">
        <v>1600</v>
      </c>
      <c r="E256" s="1" t="s">
        <v>1555</v>
      </c>
      <c r="F256" s="1" t="s">
        <v>1473</v>
      </c>
      <c r="G256" s="1" t="s">
        <v>37</v>
      </c>
      <c r="H256" s="1" t="s">
        <v>1601</v>
      </c>
      <c r="I256" s="1" t="s">
        <v>1475</v>
      </c>
      <c r="J256" s="1" t="str">
        <f t="shared" si="1"/>
        <v>Non-Compliant</v>
      </c>
      <c r="K256" s="1" t="str">
        <f t="shared" si="2"/>
        <v>Non-Incentive</v>
      </c>
      <c r="L256" s="1" t="str">
        <f t="shared" si="3"/>
        <v>TUG</v>
      </c>
      <c r="M256" s="1">
        <f t="shared" si="4"/>
        <v>3</v>
      </c>
      <c r="N256" s="1">
        <f t="shared" si="5"/>
        <v>2017</v>
      </c>
    </row>
    <row r="257" ht="15.75" customHeight="1">
      <c r="A257" s="1" t="s">
        <v>14</v>
      </c>
      <c r="B257" s="1">
        <v>8751355.0</v>
      </c>
      <c r="C257" s="1" t="s">
        <v>768</v>
      </c>
      <c r="D257" s="1" t="s">
        <v>774</v>
      </c>
      <c r="E257" s="1" t="s">
        <v>775</v>
      </c>
      <c r="F257" s="1" t="s">
        <v>776</v>
      </c>
      <c r="G257" s="1" t="s">
        <v>777</v>
      </c>
      <c r="H257" s="1" t="s">
        <v>778</v>
      </c>
      <c r="I257" s="1" t="s">
        <v>779</v>
      </c>
      <c r="J257" s="1" t="str">
        <f t="shared" si="1"/>
        <v>Non-Compliant</v>
      </c>
      <c r="K257" s="1" t="str">
        <f t="shared" si="2"/>
        <v>Non-Incentive</v>
      </c>
      <c r="L257" s="1" t="str">
        <f t="shared" si="3"/>
        <v>TUG</v>
      </c>
      <c r="M257" s="1">
        <f t="shared" si="4"/>
        <v>3</v>
      </c>
      <c r="N257" s="1">
        <f t="shared" si="5"/>
        <v>2017</v>
      </c>
    </row>
    <row r="258" ht="15.75" customHeight="1">
      <c r="A258" s="1" t="s">
        <v>14</v>
      </c>
      <c r="B258" s="1">
        <v>8709897.0</v>
      </c>
      <c r="C258" s="1" t="s">
        <v>753</v>
      </c>
      <c r="D258" s="1" t="s">
        <v>763</v>
      </c>
      <c r="E258" s="1" t="s">
        <v>764</v>
      </c>
      <c r="F258" s="1" t="s">
        <v>765</v>
      </c>
      <c r="G258" s="1" t="s">
        <v>19</v>
      </c>
      <c r="H258" s="1" t="s">
        <v>766</v>
      </c>
      <c r="I258" s="1" t="s">
        <v>767</v>
      </c>
      <c r="J258" s="1" t="str">
        <f t="shared" si="1"/>
        <v>Non-Compliant</v>
      </c>
      <c r="K258" s="1" t="str">
        <f t="shared" si="2"/>
        <v>Non-Incentive</v>
      </c>
      <c r="L258" s="1" t="str">
        <f t="shared" si="3"/>
        <v>TUG</v>
      </c>
      <c r="M258" s="1">
        <f t="shared" si="4"/>
        <v>3</v>
      </c>
      <c r="N258" s="1">
        <f t="shared" si="5"/>
        <v>2017</v>
      </c>
    </row>
    <row r="259" ht="15.75" customHeight="1">
      <c r="A259" s="1" t="s">
        <v>14</v>
      </c>
      <c r="B259" s="1">
        <v>8607213.0</v>
      </c>
      <c r="C259" s="1" t="s">
        <v>687</v>
      </c>
      <c r="D259" s="1" t="s">
        <v>699</v>
      </c>
      <c r="E259" s="1" t="s">
        <v>700</v>
      </c>
      <c r="F259" s="1" t="s">
        <v>701</v>
      </c>
      <c r="G259" s="1" t="s">
        <v>19</v>
      </c>
      <c r="H259" s="1" t="s">
        <v>702</v>
      </c>
      <c r="I259" s="1" t="s">
        <v>703</v>
      </c>
      <c r="J259" s="1" t="str">
        <f t="shared" si="1"/>
        <v>Non-Compliant</v>
      </c>
      <c r="K259" s="1" t="str">
        <f t="shared" si="2"/>
        <v>Non-Incentive</v>
      </c>
      <c r="L259" s="1" t="str">
        <f t="shared" si="3"/>
        <v>TUG</v>
      </c>
      <c r="M259" s="1">
        <f t="shared" si="4"/>
        <v>3</v>
      </c>
      <c r="N259" s="1">
        <f t="shared" si="5"/>
        <v>2017</v>
      </c>
    </row>
    <row r="260" ht="15.75" customHeight="1">
      <c r="A260" s="1" t="s">
        <v>14</v>
      </c>
      <c r="B260" s="1">
        <v>1671114.0</v>
      </c>
      <c r="C260" s="1" t="s">
        <v>1585</v>
      </c>
      <c r="D260" s="1" t="s">
        <v>1595</v>
      </c>
      <c r="E260" s="1" t="s">
        <v>1596</v>
      </c>
      <c r="F260" s="1" t="s">
        <v>1597</v>
      </c>
      <c r="G260" s="1" t="s">
        <v>19</v>
      </c>
      <c r="H260" s="1" t="s">
        <v>1598</v>
      </c>
      <c r="I260" s="1" t="s">
        <v>1599</v>
      </c>
      <c r="J260" s="1" t="str">
        <f t="shared" si="1"/>
        <v>Non-Compliant</v>
      </c>
      <c r="K260" s="1" t="str">
        <f t="shared" si="2"/>
        <v>Non-Incentive</v>
      </c>
      <c r="L260" s="1" t="str">
        <f t="shared" si="3"/>
        <v>TUG</v>
      </c>
      <c r="M260" s="1">
        <f t="shared" si="4"/>
        <v>3</v>
      </c>
      <c r="N260" s="1">
        <f t="shared" si="5"/>
        <v>2017</v>
      </c>
    </row>
    <row r="261" ht="15.75" customHeight="1">
      <c r="A261" s="1" t="s">
        <v>14</v>
      </c>
      <c r="B261" s="1">
        <v>1668810.0</v>
      </c>
      <c r="C261" s="1" t="s">
        <v>1585</v>
      </c>
      <c r="D261" s="1" t="s">
        <v>1586</v>
      </c>
      <c r="E261" s="1" t="s">
        <v>1587</v>
      </c>
      <c r="F261" s="1" t="s">
        <v>1588</v>
      </c>
      <c r="G261" s="1" t="s">
        <v>37</v>
      </c>
      <c r="H261" s="1" t="s">
        <v>1589</v>
      </c>
      <c r="I261" s="1" t="s">
        <v>1496</v>
      </c>
      <c r="J261" s="1" t="str">
        <f t="shared" si="1"/>
        <v>Non-Compliant</v>
      </c>
      <c r="K261" s="1" t="str">
        <f t="shared" si="2"/>
        <v>Non-Incentive</v>
      </c>
      <c r="L261" s="1" t="str">
        <f t="shared" si="3"/>
        <v>TUG</v>
      </c>
      <c r="M261" s="1">
        <f t="shared" si="4"/>
        <v>3</v>
      </c>
      <c r="N261" s="1">
        <f t="shared" si="5"/>
        <v>2017</v>
      </c>
    </row>
    <row r="262" ht="15.75" customHeight="1">
      <c r="A262" s="1" t="s">
        <v>14</v>
      </c>
      <c r="B262" s="1">
        <v>1694312.0</v>
      </c>
      <c r="C262" s="1" t="s">
        <v>1607</v>
      </c>
      <c r="D262" s="1" t="s">
        <v>1608</v>
      </c>
      <c r="E262" s="1" t="s">
        <v>1587</v>
      </c>
      <c r="F262" s="1" t="s">
        <v>1609</v>
      </c>
      <c r="G262" s="1" t="s">
        <v>37</v>
      </c>
      <c r="H262" s="1" t="s">
        <v>1610</v>
      </c>
      <c r="I262" s="1" t="s">
        <v>1611</v>
      </c>
      <c r="J262" s="1" t="str">
        <f t="shared" si="1"/>
        <v>Non-Compliant</v>
      </c>
      <c r="K262" s="1" t="str">
        <f t="shared" si="2"/>
        <v>Non-Incentive</v>
      </c>
      <c r="L262" s="1" t="str">
        <f t="shared" si="3"/>
        <v>TUG</v>
      </c>
      <c r="M262" s="1">
        <f t="shared" si="4"/>
        <v>3</v>
      </c>
      <c r="N262" s="1">
        <f t="shared" si="5"/>
        <v>2017</v>
      </c>
    </row>
    <row r="263" ht="15.75" customHeight="1">
      <c r="A263" s="1" t="s">
        <v>14</v>
      </c>
      <c r="B263" s="1">
        <v>1023575.0</v>
      </c>
      <c r="C263" s="1" t="s">
        <v>1234</v>
      </c>
      <c r="D263" s="1" t="s">
        <v>1235</v>
      </c>
      <c r="E263" s="1" t="s">
        <v>1236</v>
      </c>
      <c r="F263" s="1" t="s">
        <v>1237</v>
      </c>
      <c r="G263" s="1" t="s">
        <v>37</v>
      </c>
      <c r="H263" s="1" t="s">
        <v>1238</v>
      </c>
      <c r="I263" s="1" t="s">
        <v>1239</v>
      </c>
      <c r="J263" s="1" t="str">
        <f t="shared" si="1"/>
        <v>Non-Compliant</v>
      </c>
      <c r="K263" s="1" t="str">
        <f t="shared" si="2"/>
        <v>Non-Incentive</v>
      </c>
      <c r="L263" s="1" t="str">
        <f t="shared" si="3"/>
        <v>TUG</v>
      </c>
      <c r="M263" s="1">
        <f t="shared" si="4"/>
        <v>3</v>
      </c>
      <c r="N263" s="1">
        <f t="shared" si="5"/>
        <v>2017</v>
      </c>
    </row>
    <row r="264" ht="15.75" customHeight="1">
      <c r="A264" s="1" t="s">
        <v>14</v>
      </c>
      <c r="B264" s="1">
        <v>8752612.0</v>
      </c>
      <c r="C264" s="1" t="s">
        <v>768</v>
      </c>
      <c r="D264" s="1" t="s">
        <v>780</v>
      </c>
      <c r="E264" s="1" t="s">
        <v>781</v>
      </c>
      <c r="F264" s="1" t="s">
        <v>782</v>
      </c>
      <c r="G264" s="1" t="s">
        <v>19</v>
      </c>
      <c r="H264" s="1" t="s">
        <v>783</v>
      </c>
      <c r="I264" s="1" t="s">
        <v>784</v>
      </c>
      <c r="J264" s="1" t="str">
        <f t="shared" si="1"/>
        <v>Non-Compliant</v>
      </c>
      <c r="K264" s="1" t="str">
        <f t="shared" si="2"/>
        <v>Non-Incentive</v>
      </c>
      <c r="L264" s="1" t="str">
        <f t="shared" si="3"/>
        <v>TUG</v>
      </c>
      <c r="M264" s="1">
        <f t="shared" si="4"/>
        <v>3</v>
      </c>
      <c r="N264" s="1">
        <f t="shared" si="5"/>
        <v>2017</v>
      </c>
    </row>
    <row r="265" ht="15.75" customHeight="1">
      <c r="A265" s="1" t="s">
        <v>14</v>
      </c>
      <c r="B265" s="1">
        <v>8794182.0</v>
      </c>
      <c r="C265" s="1" t="s">
        <v>804</v>
      </c>
      <c r="D265" s="1" t="s">
        <v>805</v>
      </c>
      <c r="E265" s="1" t="s">
        <v>806</v>
      </c>
      <c r="F265" s="1" t="s">
        <v>807</v>
      </c>
      <c r="G265" s="1" t="s">
        <v>19</v>
      </c>
      <c r="H265" s="1" t="s">
        <v>808</v>
      </c>
      <c r="I265" s="1" t="s">
        <v>809</v>
      </c>
      <c r="J265" s="1" t="str">
        <f t="shared" si="1"/>
        <v>Non-Compliant</v>
      </c>
      <c r="K265" s="1" t="str">
        <f t="shared" si="2"/>
        <v>Non-Incentive</v>
      </c>
      <c r="L265" s="1" t="str">
        <f t="shared" si="3"/>
        <v>TUG</v>
      </c>
      <c r="M265" s="1">
        <f t="shared" si="4"/>
        <v>3</v>
      </c>
      <c r="N265" s="1">
        <f t="shared" si="5"/>
        <v>2017</v>
      </c>
    </row>
    <row r="266" ht="15.75" customHeight="1">
      <c r="A266" s="1" t="s">
        <v>14</v>
      </c>
      <c r="B266" s="1">
        <v>8039228.0</v>
      </c>
      <c r="C266" s="1" t="s">
        <v>301</v>
      </c>
      <c r="D266" s="1" t="s">
        <v>312</v>
      </c>
      <c r="E266" s="1" t="s">
        <v>313</v>
      </c>
      <c r="F266" s="1" t="s">
        <v>314</v>
      </c>
      <c r="G266" s="1" t="s">
        <v>19</v>
      </c>
      <c r="H266" s="1" t="s">
        <v>315</v>
      </c>
      <c r="I266" s="1" t="s">
        <v>32</v>
      </c>
      <c r="J266" s="1" t="str">
        <f t="shared" si="1"/>
        <v>Non-Compliant</v>
      </c>
      <c r="K266" s="1" t="str">
        <f t="shared" si="2"/>
        <v>Non-Incentive</v>
      </c>
      <c r="L266" s="1" t="str">
        <f t="shared" si="3"/>
        <v>TUG</v>
      </c>
      <c r="M266" s="1">
        <f t="shared" si="4"/>
        <v>3</v>
      </c>
      <c r="N266" s="1">
        <f t="shared" si="5"/>
        <v>2017</v>
      </c>
    </row>
    <row r="267" ht="15.75" customHeight="1">
      <c r="A267" s="1" t="s">
        <v>14</v>
      </c>
      <c r="B267" s="1">
        <v>8091385.0</v>
      </c>
      <c r="C267" s="1" t="s">
        <v>340</v>
      </c>
      <c r="D267" s="1" t="s">
        <v>349</v>
      </c>
      <c r="E267" s="1" t="s">
        <v>313</v>
      </c>
      <c r="F267" s="1" t="s">
        <v>350</v>
      </c>
      <c r="G267" s="1" t="s">
        <v>19</v>
      </c>
      <c r="H267" s="1" t="s">
        <v>351</v>
      </c>
      <c r="I267" s="1" t="s">
        <v>250</v>
      </c>
      <c r="J267" s="1" t="str">
        <f t="shared" si="1"/>
        <v>Non-Compliant</v>
      </c>
      <c r="K267" s="1" t="str">
        <f t="shared" si="2"/>
        <v>Non-Incentive</v>
      </c>
      <c r="L267" s="1" t="str">
        <f t="shared" si="3"/>
        <v>TUG</v>
      </c>
      <c r="M267" s="1">
        <f t="shared" si="4"/>
        <v>3</v>
      </c>
      <c r="N267" s="1">
        <f t="shared" si="5"/>
        <v>2017</v>
      </c>
    </row>
    <row r="268" ht="15.75" customHeight="1">
      <c r="A268" s="1" t="s">
        <v>14</v>
      </c>
      <c r="B268" s="1">
        <v>8086454.0</v>
      </c>
      <c r="C268" s="1" t="s">
        <v>340</v>
      </c>
      <c r="D268" s="1" t="s">
        <v>341</v>
      </c>
      <c r="E268" s="1" t="s">
        <v>342</v>
      </c>
      <c r="F268" s="1" t="s">
        <v>343</v>
      </c>
      <c r="G268" s="1" t="s">
        <v>37</v>
      </c>
      <c r="H268" s="1" t="s">
        <v>344</v>
      </c>
      <c r="I268" s="1" t="s">
        <v>345</v>
      </c>
      <c r="J268" s="1" t="str">
        <f t="shared" si="1"/>
        <v>Non-Compliant</v>
      </c>
      <c r="K268" s="1" t="str">
        <f t="shared" si="2"/>
        <v>Non-Incentive</v>
      </c>
      <c r="L268" s="1" t="str">
        <f t="shared" si="3"/>
        <v>TUG</v>
      </c>
      <c r="M268" s="1">
        <f t="shared" si="4"/>
        <v>3</v>
      </c>
      <c r="N268" s="1">
        <f t="shared" si="5"/>
        <v>2017</v>
      </c>
    </row>
    <row r="269" ht="15.75" customHeight="1">
      <c r="A269" s="1" t="s">
        <v>14</v>
      </c>
      <c r="B269" s="1">
        <v>1616744.0</v>
      </c>
      <c r="C269" s="1" t="s">
        <v>1553</v>
      </c>
      <c r="D269" s="1" t="s">
        <v>1563</v>
      </c>
      <c r="E269" s="1" t="s">
        <v>1564</v>
      </c>
      <c r="F269" s="1" t="s">
        <v>1565</v>
      </c>
      <c r="G269" s="1" t="s">
        <v>19</v>
      </c>
      <c r="H269" s="1" t="s">
        <v>1566</v>
      </c>
      <c r="I269" s="1" t="s">
        <v>1567</v>
      </c>
      <c r="J269" s="1" t="str">
        <f t="shared" si="1"/>
        <v>Non-Compliant</v>
      </c>
      <c r="K269" s="1" t="str">
        <f t="shared" si="2"/>
        <v>Non-Incentive</v>
      </c>
      <c r="L269" s="1" t="str">
        <f t="shared" si="3"/>
        <v>TUG</v>
      </c>
      <c r="M269" s="1">
        <f t="shared" si="4"/>
        <v>3</v>
      </c>
      <c r="N269" s="1">
        <f t="shared" si="5"/>
        <v>2017</v>
      </c>
    </row>
    <row r="270" ht="15.75" customHeight="1">
      <c r="A270" s="1" t="s">
        <v>14</v>
      </c>
      <c r="B270" s="1">
        <v>1718128.0</v>
      </c>
      <c r="C270" s="1" t="s">
        <v>1621</v>
      </c>
      <c r="D270" s="1" t="s">
        <v>1622</v>
      </c>
      <c r="E270" s="1" t="s">
        <v>1564</v>
      </c>
      <c r="F270" s="1" t="s">
        <v>1623</v>
      </c>
      <c r="G270" s="1" t="s">
        <v>19</v>
      </c>
      <c r="H270" s="1" t="s">
        <v>1624</v>
      </c>
      <c r="I270" s="1" t="s">
        <v>1625</v>
      </c>
      <c r="J270" s="1" t="str">
        <f t="shared" si="1"/>
        <v>Non-Compliant</v>
      </c>
      <c r="K270" s="1" t="str">
        <f t="shared" si="2"/>
        <v>Non-Incentive</v>
      </c>
      <c r="L270" s="1" t="str">
        <f t="shared" si="3"/>
        <v>TUG</v>
      </c>
      <c r="M270" s="1">
        <f t="shared" si="4"/>
        <v>3</v>
      </c>
      <c r="N270" s="1">
        <f t="shared" si="5"/>
        <v>2017</v>
      </c>
    </row>
    <row r="271" ht="15.75" customHeight="1">
      <c r="A271" s="1" t="s">
        <v>14</v>
      </c>
      <c r="B271" s="1">
        <v>1054151.0</v>
      </c>
      <c r="C271" s="1" t="s">
        <v>1257</v>
      </c>
      <c r="D271" s="1" t="s">
        <v>1258</v>
      </c>
      <c r="E271" s="1" t="s">
        <v>1259</v>
      </c>
      <c r="F271" s="1" t="s">
        <v>1260</v>
      </c>
      <c r="G271" s="1" t="s">
        <v>19</v>
      </c>
      <c r="H271" s="1" t="s">
        <v>1261</v>
      </c>
      <c r="I271" s="1" t="s">
        <v>1262</v>
      </c>
      <c r="J271" s="1" t="str">
        <f t="shared" si="1"/>
        <v>Non-Compliant</v>
      </c>
      <c r="K271" s="1" t="str">
        <f t="shared" si="2"/>
        <v>Non-Incentive</v>
      </c>
      <c r="L271" s="1" t="str">
        <f t="shared" si="3"/>
        <v>TUG</v>
      </c>
      <c r="M271" s="1">
        <f t="shared" si="4"/>
        <v>3</v>
      </c>
      <c r="N271" s="1">
        <f t="shared" si="5"/>
        <v>2017</v>
      </c>
    </row>
    <row r="272" ht="15.75" customHeight="1">
      <c r="A272" s="1" t="s">
        <v>14</v>
      </c>
      <c r="B272" s="1">
        <v>1072758.0</v>
      </c>
      <c r="C272" s="1" t="s">
        <v>1257</v>
      </c>
      <c r="D272" s="1" t="s">
        <v>1281</v>
      </c>
      <c r="E272" s="1" t="s">
        <v>1259</v>
      </c>
      <c r="F272" s="1" t="s">
        <v>1282</v>
      </c>
      <c r="G272" s="1" t="s">
        <v>19</v>
      </c>
      <c r="H272" s="1" t="s">
        <v>1283</v>
      </c>
      <c r="I272" s="1" t="s">
        <v>1284</v>
      </c>
      <c r="J272" s="1" t="str">
        <f t="shared" si="1"/>
        <v>Non-Compliant</v>
      </c>
      <c r="K272" s="1" t="str">
        <f t="shared" si="2"/>
        <v>Non-Incentive</v>
      </c>
      <c r="L272" s="1" t="str">
        <f t="shared" si="3"/>
        <v>TUG</v>
      </c>
      <c r="M272" s="1">
        <f t="shared" si="4"/>
        <v>3</v>
      </c>
      <c r="N272" s="1">
        <f t="shared" si="5"/>
        <v>2017</v>
      </c>
    </row>
    <row r="273" ht="15.75" customHeight="1">
      <c r="A273" s="1" t="s">
        <v>14</v>
      </c>
      <c r="B273" s="1">
        <v>1046425.0</v>
      </c>
      <c r="C273" s="1" t="s">
        <v>1240</v>
      </c>
      <c r="D273" s="1" t="s">
        <v>1251</v>
      </c>
      <c r="E273" s="1" t="s">
        <v>1252</v>
      </c>
      <c r="F273" s="1" t="s">
        <v>1253</v>
      </c>
      <c r="G273" s="1" t="s">
        <v>1254</v>
      </c>
      <c r="H273" s="1" t="s">
        <v>1255</v>
      </c>
      <c r="I273" s="1" t="s">
        <v>1256</v>
      </c>
      <c r="J273" s="1" t="str">
        <f t="shared" si="1"/>
        <v>Non-Compliant</v>
      </c>
      <c r="K273" s="1" t="str">
        <f t="shared" si="2"/>
        <v>Non-Incentive</v>
      </c>
      <c r="L273" s="1" t="str">
        <f t="shared" si="3"/>
        <v>TUG</v>
      </c>
      <c r="M273" s="1">
        <f t="shared" si="4"/>
        <v>3</v>
      </c>
      <c r="N273" s="1">
        <f t="shared" si="5"/>
        <v>2017</v>
      </c>
    </row>
    <row r="274" ht="15.75" customHeight="1">
      <c r="A274" s="1" t="s">
        <v>14</v>
      </c>
      <c r="B274" s="1">
        <v>9425848.0</v>
      </c>
      <c r="C274" s="1" t="s">
        <v>1055</v>
      </c>
      <c r="D274" s="1" t="s">
        <v>1056</v>
      </c>
      <c r="E274" s="1" t="s">
        <v>1057</v>
      </c>
      <c r="F274" s="1" t="s">
        <v>1058</v>
      </c>
      <c r="G274" s="1" t="s">
        <v>1059</v>
      </c>
      <c r="H274" s="1" t="s">
        <v>1060</v>
      </c>
      <c r="I274" s="1" t="s">
        <v>250</v>
      </c>
      <c r="J274" s="1" t="str">
        <f t="shared" si="1"/>
        <v>Non-Compliant</v>
      </c>
      <c r="K274" s="1" t="str">
        <f t="shared" si="2"/>
        <v>Non-Incentive</v>
      </c>
      <c r="L274" s="1" t="str">
        <f t="shared" si="3"/>
        <v>TUG</v>
      </c>
      <c r="M274" s="1">
        <f t="shared" si="4"/>
        <v>3</v>
      </c>
      <c r="N274" s="1">
        <f t="shared" si="5"/>
        <v>2017</v>
      </c>
    </row>
    <row r="275" ht="15.75" customHeight="1">
      <c r="A275" s="1" t="s">
        <v>14</v>
      </c>
      <c r="B275" s="1">
        <v>8749638.0</v>
      </c>
      <c r="C275" s="1" t="s">
        <v>768</v>
      </c>
      <c r="D275" s="1" t="s">
        <v>769</v>
      </c>
      <c r="E275" s="1" t="s">
        <v>770</v>
      </c>
      <c r="F275" s="1" t="s">
        <v>771</v>
      </c>
      <c r="G275" s="1" t="s">
        <v>19</v>
      </c>
      <c r="H275" s="1" t="s">
        <v>772</v>
      </c>
      <c r="I275" s="1" t="s">
        <v>773</v>
      </c>
      <c r="J275" s="1" t="str">
        <f t="shared" si="1"/>
        <v>Non-Compliant</v>
      </c>
      <c r="K275" s="1" t="str">
        <f t="shared" si="2"/>
        <v>Non-Incentive</v>
      </c>
      <c r="L275" s="1" t="str">
        <f t="shared" si="3"/>
        <v>TUG</v>
      </c>
      <c r="M275" s="1">
        <f t="shared" si="4"/>
        <v>3</v>
      </c>
      <c r="N275" s="1">
        <f t="shared" si="5"/>
        <v>2017</v>
      </c>
    </row>
    <row r="276" ht="15.75" customHeight="1">
      <c r="A276" s="1" t="s">
        <v>14</v>
      </c>
      <c r="B276" s="1">
        <v>8752787.0</v>
      </c>
      <c r="C276" s="1" t="s">
        <v>768</v>
      </c>
      <c r="D276" s="1" t="s">
        <v>785</v>
      </c>
      <c r="E276" s="1" t="s">
        <v>786</v>
      </c>
      <c r="F276" s="1" t="s">
        <v>787</v>
      </c>
      <c r="G276" s="1" t="s">
        <v>19</v>
      </c>
      <c r="H276" s="1" t="s">
        <v>788</v>
      </c>
      <c r="I276" s="1" t="s">
        <v>789</v>
      </c>
      <c r="J276" s="1" t="str">
        <f t="shared" si="1"/>
        <v>Non-Compliant</v>
      </c>
      <c r="K276" s="1" t="str">
        <f t="shared" si="2"/>
        <v>Non-Incentive</v>
      </c>
      <c r="L276" s="1" t="str">
        <f t="shared" si="3"/>
        <v>TUG</v>
      </c>
      <c r="M276" s="1">
        <f t="shared" si="4"/>
        <v>3</v>
      </c>
      <c r="N276" s="1">
        <f t="shared" si="5"/>
        <v>2017</v>
      </c>
    </row>
    <row r="277" ht="15.75" customHeight="1">
      <c r="A277" s="1" t="s">
        <v>14</v>
      </c>
      <c r="B277" s="1">
        <v>8783035.0</v>
      </c>
      <c r="C277" s="1" t="s">
        <v>790</v>
      </c>
      <c r="D277" s="1" t="s">
        <v>796</v>
      </c>
      <c r="E277" s="1" t="s">
        <v>797</v>
      </c>
      <c r="F277" s="1" t="s">
        <v>798</v>
      </c>
      <c r="G277" s="1" t="s">
        <v>19</v>
      </c>
      <c r="H277" s="1" t="s">
        <v>799</v>
      </c>
      <c r="I277" s="1" t="s">
        <v>250</v>
      </c>
      <c r="J277" s="1" t="str">
        <f t="shared" si="1"/>
        <v>Non-Compliant</v>
      </c>
      <c r="K277" s="1" t="str">
        <f t="shared" si="2"/>
        <v>Non-Incentive</v>
      </c>
      <c r="L277" s="1" t="str">
        <f t="shared" si="3"/>
        <v>TUG</v>
      </c>
      <c r="M277" s="1">
        <f t="shared" si="4"/>
        <v>3</v>
      </c>
      <c r="N277" s="1">
        <f t="shared" si="5"/>
        <v>2017</v>
      </c>
    </row>
    <row r="278" ht="15.75" customHeight="1">
      <c r="A278" s="1" t="s">
        <v>14</v>
      </c>
      <c r="B278" s="1">
        <v>8090388.0</v>
      </c>
      <c r="C278" s="1" t="s">
        <v>340</v>
      </c>
      <c r="D278" s="1" t="s">
        <v>346</v>
      </c>
      <c r="E278" s="1" t="s">
        <v>267</v>
      </c>
      <c r="F278" s="1" t="s">
        <v>347</v>
      </c>
      <c r="G278" s="1" t="s">
        <v>19</v>
      </c>
      <c r="H278" s="1" t="s">
        <v>348</v>
      </c>
      <c r="I278" s="1" t="s">
        <v>281</v>
      </c>
      <c r="J278" s="1" t="str">
        <f t="shared" si="1"/>
        <v>Non-Compliant</v>
      </c>
      <c r="K278" s="1" t="str">
        <f t="shared" si="2"/>
        <v>Non-Incentive</v>
      </c>
      <c r="L278" s="1" t="str">
        <f t="shared" si="3"/>
        <v>TUG</v>
      </c>
      <c r="M278" s="1">
        <f t="shared" si="4"/>
        <v>3</v>
      </c>
      <c r="N278" s="1">
        <f t="shared" si="5"/>
        <v>2017</v>
      </c>
    </row>
    <row r="279" ht="15.75" customHeight="1">
      <c r="A279" s="1" t="s">
        <v>14</v>
      </c>
      <c r="B279" s="1">
        <v>7958295.0</v>
      </c>
      <c r="C279" s="1" t="s">
        <v>261</v>
      </c>
      <c r="D279" s="1" t="s">
        <v>266</v>
      </c>
      <c r="E279" s="1" t="s">
        <v>267</v>
      </c>
      <c r="F279" s="1" t="s">
        <v>268</v>
      </c>
      <c r="G279" s="1" t="s">
        <v>19</v>
      </c>
      <c r="H279" s="1" t="s">
        <v>269</v>
      </c>
      <c r="I279" s="1" t="s">
        <v>32</v>
      </c>
      <c r="J279" s="1" t="str">
        <f t="shared" si="1"/>
        <v>Non-Compliant</v>
      </c>
      <c r="K279" s="1" t="str">
        <f t="shared" si="2"/>
        <v>Non-Incentive</v>
      </c>
      <c r="L279" s="1" t="str">
        <f t="shared" si="3"/>
        <v>TUG</v>
      </c>
      <c r="M279" s="1">
        <f t="shared" si="4"/>
        <v>3</v>
      </c>
      <c r="N279" s="1">
        <f t="shared" si="5"/>
        <v>2017</v>
      </c>
    </row>
    <row r="280" ht="15.75" customHeight="1">
      <c r="A280" s="1" t="s">
        <v>14</v>
      </c>
      <c r="B280" s="1">
        <v>8146068.0</v>
      </c>
      <c r="C280" s="1" t="s">
        <v>362</v>
      </c>
      <c r="D280" s="1" t="s">
        <v>384</v>
      </c>
      <c r="E280" s="1" t="s">
        <v>267</v>
      </c>
      <c r="F280" s="1" t="s">
        <v>381</v>
      </c>
      <c r="G280" s="1" t="s">
        <v>19</v>
      </c>
      <c r="H280" s="1" t="s">
        <v>385</v>
      </c>
      <c r="I280" s="1" t="s">
        <v>383</v>
      </c>
      <c r="J280" s="1" t="str">
        <f t="shared" si="1"/>
        <v>Non-Compliant</v>
      </c>
      <c r="K280" s="1" t="str">
        <f t="shared" si="2"/>
        <v>Non-Incentive</v>
      </c>
      <c r="L280" s="1" t="str">
        <f t="shared" si="3"/>
        <v>TUG</v>
      </c>
      <c r="M280" s="1">
        <f t="shared" si="4"/>
        <v>3</v>
      </c>
      <c r="N280" s="1">
        <f t="shared" si="5"/>
        <v>2017</v>
      </c>
    </row>
    <row r="281" ht="15.75" customHeight="1">
      <c r="A281" s="1" t="s">
        <v>14</v>
      </c>
      <c r="B281" s="1">
        <v>8065467.0</v>
      </c>
      <c r="C281" s="1" t="s">
        <v>316</v>
      </c>
      <c r="D281" s="1" t="s">
        <v>327</v>
      </c>
      <c r="E281" s="1" t="s">
        <v>267</v>
      </c>
      <c r="F281" s="1" t="s">
        <v>328</v>
      </c>
      <c r="G281" s="1" t="s">
        <v>111</v>
      </c>
      <c r="H281" s="1" t="s">
        <v>329</v>
      </c>
      <c r="I281" s="1" t="s">
        <v>218</v>
      </c>
      <c r="J281" s="1" t="str">
        <f t="shared" si="1"/>
        <v>Non-Compliant</v>
      </c>
      <c r="K281" s="1" t="str">
        <f t="shared" si="2"/>
        <v>Non-Incentive</v>
      </c>
      <c r="L281" s="1" t="str">
        <f t="shared" si="3"/>
        <v>TUG</v>
      </c>
      <c r="M281" s="1">
        <f t="shared" si="4"/>
        <v>3</v>
      </c>
      <c r="N281" s="1">
        <f t="shared" si="5"/>
        <v>2017</v>
      </c>
    </row>
    <row r="282" ht="15.75" customHeight="1">
      <c r="A282" s="1" t="s">
        <v>14</v>
      </c>
      <c r="B282" s="1">
        <v>8140947.0</v>
      </c>
      <c r="C282" s="1" t="s">
        <v>362</v>
      </c>
      <c r="D282" s="1" t="s">
        <v>371</v>
      </c>
      <c r="E282" s="1" t="s">
        <v>267</v>
      </c>
      <c r="F282" s="1" t="s">
        <v>372</v>
      </c>
      <c r="G282" s="1" t="s">
        <v>19</v>
      </c>
      <c r="H282" s="1" t="s">
        <v>373</v>
      </c>
      <c r="I282" s="1" t="s">
        <v>32</v>
      </c>
      <c r="J282" s="1" t="str">
        <f t="shared" si="1"/>
        <v>Non-Compliant</v>
      </c>
      <c r="K282" s="1" t="str">
        <f t="shared" si="2"/>
        <v>Non-Incentive</v>
      </c>
      <c r="L282" s="1" t="str">
        <f t="shared" si="3"/>
        <v>TUG</v>
      </c>
      <c r="M282" s="1">
        <f t="shared" si="4"/>
        <v>3</v>
      </c>
      <c r="N282" s="1">
        <f t="shared" si="5"/>
        <v>2017</v>
      </c>
    </row>
    <row r="283" ht="15.75" customHeight="1">
      <c r="A283" s="1" t="s">
        <v>14</v>
      </c>
      <c r="B283" s="1">
        <v>8140525.0</v>
      </c>
      <c r="C283" s="1" t="s">
        <v>362</v>
      </c>
      <c r="D283" s="1" t="s">
        <v>367</v>
      </c>
      <c r="E283" s="1" t="s">
        <v>267</v>
      </c>
      <c r="F283" s="1" t="s">
        <v>368</v>
      </c>
      <c r="G283" s="1" t="s">
        <v>19</v>
      </c>
      <c r="H283" s="1" t="s">
        <v>369</v>
      </c>
      <c r="I283" s="1" t="s">
        <v>370</v>
      </c>
      <c r="J283" s="1" t="str">
        <f t="shared" si="1"/>
        <v>Non-Compliant</v>
      </c>
      <c r="K283" s="1" t="str">
        <f t="shared" si="2"/>
        <v>Non-Incentive</v>
      </c>
      <c r="L283" s="1" t="str">
        <f t="shared" si="3"/>
        <v>TUG</v>
      </c>
      <c r="M283" s="1">
        <f t="shared" si="4"/>
        <v>3</v>
      </c>
      <c r="N283" s="1">
        <f t="shared" si="5"/>
        <v>2017</v>
      </c>
    </row>
    <row r="284" ht="15.75" customHeight="1">
      <c r="A284" s="1" t="s">
        <v>14</v>
      </c>
      <c r="B284" s="1">
        <v>8102896.0</v>
      </c>
      <c r="C284" s="1" t="s">
        <v>352</v>
      </c>
      <c r="D284" s="1" t="s">
        <v>353</v>
      </c>
      <c r="E284" s="1" t="s">
        <v>267</v>
      </c>
      <c r="F284" s="1" t="s">
        <v>354</v>
      </c>
      <c r="G284" s="1" t="s">
        <v>19</v>
      </c>
      <c r="H284" s="1" t="s">
        <v>355</v>
      </c>
      <c r="I284" s="1" t="s">
        <v>218</v>
      </c>
      <c r="J284" s="1" t="str">
        <f t="shared" si="1"/>
        <v>Non-Compliant</v>
      </c>
      <c r="K284" s="1" t="str">
        <f t="shared" si="2"/>
        <v>Non-Incentive</v>
      </c>
      <c r="L284" s="1" t="str">
        <f t="shared" si="3"/>
        <v>TUG</v>
      </c>
      <c r="M284" s="1">
        <f t="shared" si="4"/>
        <v>3</v>
      </c>
      <c r="N284" s="1">
        <f t="shared" si="5"/>
        <v>2017</v>
      </c>
    </row>
    <row r="285" ht="15.75" customHeight="1">
      <c r="A285" s="1" t="s">
        <v>14</v>
      </c>
      <c r="B285" s="1">
        <v>8061134.0</v>
      </c>
      <c r="C285" s="1" t="s">
        <v>316</v>
      </c>
      <c r="D285" s="1" t="s">
        <v>322</v>
      </c>
      <c r="E285" s="1" t="s">
        <v>323</v>
      </c>
      <c r="F285" s="1" t="s">
        <v>324</v>
      </c>
      <c r="G285" s="1" t="s">
        <v>19</v>
      </c>
      <c r="H285" s="1" t="s">
        <v>325</v>
      </c>
      <c r="I285" s="1" t="s">
        <v>326</v>
      </c>
      <c r="J285" s="1" t="str">
        <f t="shared" si="1"/>
        <v>Non-Compliant</v>
      </c>
      <c r="K285" s="1" t="str">
        <f t="shared" si="2"/>
        <v>Non-Incentive</v>
      </c>
      <c r="L285" s="1" t="str">
        <f t="shared" si="3"/>
        <v>TUG</v>
      </c>
      <c r="M285" s="1">
        <f t="shared" si="4"/>
        <v>3</v>
      </c>
      <c r="N285" s="1">
        <f t="shared" si="5"/>
        <v>2017</v>
      </c>
    </row>
    <row r="286" ht="15.75" customHeight="1">
      <c r="A286" s="1" t="s">
        <v>14</v>
      </c>
      <c r="B286" s="1">
        <v>8173971.0</v>
      </c>
      <c r="C286" s="1" t="s">
        <v>386</v>
      </c>
      <c r="D286" s="1" t="s">
        <v>403</v>
      </c>
      <c r="E286" s="1" t="s">
        <v>323</v>
      </c>
      <c r="F286" s="1" t="s">
        <v>404</v>
      </c>
      <c r="G286" s="1" t="s">
        <v>19</v>
      </c>
      <c r="H286" s="1" t="s">
        <v>405</v>
      </c>
      <c r="I286" s="1" t="s">
        <v>406</v>
      </c>
      <c r="J286" s="1" t="str">
        <f t="shared" si="1"/>
        <v>Non-Compliant</v>
      </c>
      <c r="K286" s="1" t="str">
        <f t="shared" si="2"/>
        <v>Non-Incentive</v>
      </c>
      <c r="L286" s="1" t="str">
        <f t="shared" si="3"/>
        <v>TUG</v>
      </c>
      <c r="M286" s="1">
        <f t="shared" si="4"/>
        <v>3</v>
      </c>
      <c r="N286" s="1">
        <f t="shared" si="5"/>
        <v>2017</v>
      </c>
    </row>
    <row r="287" ht="15.75" customHeight="1">
      <c r="A287" s="1" t="s">
        <v>14</v>
      </c>
      <c r="B287" s="1">
        <v>8128641.0</v>
      </c>
      <c r="C287" s="1" t="s">
        <v>362</v>
      </c>
      <c r="D287" s="1" t="s">
        <v>363</v>
      </c>
      <c r="E287" s="1" t="s">
        <v>364</v>
      </c>
      <c r="F287" s="1" t="s">
        <v>365</v>
      </c>
      <c r="G287" s="1" t="s">
        <v>19</v>
      </c>
      <c r="H287" s="1" t="s">
        <v>366</v>
      </c>
      <c r="I287" s="1" t="s">
        <v>32</v>
      </c>
      <c r="J287" s="1" t="str">
        <f t="shared" si="1"/>
        <v>Non-Compliant</v>
      </c>
      <c r="K287" s="1" t="str">
        <f t="shared" si="2"/>
        <v>Non-Incentive</v>
      </c>
      <c r="L287" s="1" t="str">
        <f t="shared" si="3"/>
        <v>TUG</v>
      </c>
      <c r="M287" s="1">
        <f t="shared" si="4"/>
        <v>3</v>
      </c>
      <c r="N287" s="1">
        <f t="shared" si="5"/>
        <v>2017</v>
      </c>
    </row>
    <row r="288" ht="15.75" customHeight="1">
      <c r="A288" s="1" t="s">
        <v>14</v>
      </c>
      <c r="B288" s="1">
        <v>8180485.0</v>
      </c>
      <c r="C288" s="1" t="s">
        <v>407</v>
      </c>
      <c r="D288" s="1" t="s">
        <v>408</v>
      </c>
      <c r="E288" s="1" t="s">
        <v>375</v>
      </c>
      <c r="F288" s="1" t="s">
        <v>409</v>
      </c>
      <c r="G288" s="1" t="s">
        <v>37</v>
      </c>
      <c r="H288" s="1" t="s">
        <v>410</v>
      </c>
      <c r="I288" s="1" t="s">
        <v>32</v>
      </c>
      <c r="J288" s="1" t="str">
        <f t="shared" si="1"/>
        <v>Non-Compliant</v>
      </c>
      <c r="K288" s="1" t="str">
        <f t="shared" si="2"/>
        <v>Non-Incentive</v>
      </c>
      <c r="L288" s="1" t="str">
        <f t="shared" si="3"/>
        <v>TUG</v>
      </c>
      <c r="M288" s="1">
        <f t="shared" si="4"/>
        <v>3</v>
      </c>
      <c r="N288" s="1">
        <f t="shared" si="5"/>
        <v>2017</v>
      </c>
    </row>
    <row r="289" ht="15.75" customHeight="1">
      <c r="A289" s="1" t="s">
        <v>14</v>
      </c>
      <c r="B289" s="1">
        <v>8144422.0</v>
      </c>
      <c r="C289" s="1" t="s">
        <v>362</v>
      </c>
      <c r="D289" s="1" t="s">
        <v>374</v>
      </c>
      <c r="E289" s="1" t="s">
        <v>375</v>
      </c>
      <c r="F289" s="1" t="s">
        <v>376</v>
      </c>
      <c r="G289" s="1" t="s">
        <v>37</v>
      </c>
      <c r="H289" s="1" t="s">
        <v>377</v>
      </c>
      <c r="I289" s="1" t="s">
        <v>378</v>
      </c>
      <c r="J289" s="1" t="str">
        <f t="shared" si="1"/>
        <v>Non-Compliant</v>
      </c>
      <c r="K289" s="1" t="str">
        <f t="shared" si="2"/>
        <v>Non-Incentive</v>
      </c>
      <c r="L289" s="1" t="str">
        <f t="shared" si="3"/>
        <v>TUG</v>
      </c>
      <c r="M289" s="1">
        <f t="shared" si="4"/>
        <v>3</v>
      </c>
      <c r="N289" s="1">
        <f t="shared" si="5"/>
        <v>2017</v>
      </c>
    </row>
    <row r="290" ht="15.75" customHeight="1">
      <c r="A290" s="1" t="s">
        <v>14</v>
      </c>
      <c r="B290" s="1">
        <v>1042281.0</v>
      </c>
      <c r="C290" s="1" t="s">
        <v>1240</v>
      </c>
      <c r="D290" s="1" t="s">
        <v>1246</v>
      </c>
      <c r="E290" s="1" t="s">
        <v>1247</v>
      </c>
      <c r="F290" s="1" t="s">
        <v>1248</v>
      </c>
      <c r="G290" s="1" t="s">
        <v>19</v>
      </c>
      <c r="H290" s="1" t="s">
        <v>1249</v>
      </c>
      <c r="I290" s="1" t="s">
        <v>1250</v>
      </c>
      <c r="J290" s="1" t="str">
        <f t="shared" si="1"/>
        <v>Non-Compliant</v>
      </c>
      <c r="K290" s="1" t="str">
        <f t="shared" si="2"/>
        <v>Non-Incentive</v>
      </c>
      <c r="L290" s="1" t="str">
        <f t="shared" si="3"/>
        <v>TUG</v>
      </c>
      <c r="M290" s="1">
        <f t="shared" si="4"/>
        <v>3</v>
      </c>
      <c r="N290" s="1">
        <f t="shared" si="5"/>
        <v>2017</v>
      </c>
    </row>
    <row r="291" ht="15.75" customHeight="1">
      <c r="A291" s="1" t="s">
        <v>14</v>
      </c>
      <c r="B291" s="1">
        <v>1071710.0</v>
      </c>
      <c r="C291" s="1" t="s">
        <v>1257</v>
      </c>
      <c r="D291" s="1" t="s">
        <v>1277</v>
      </c>
      <c r="E291" s="1" t="s">
        <v>1247</v>
      </c>
      <c r="F291" s="1" t="s">
        <v>1278</v>
      </c>
      <c r="G291" s="1" t="s">
        <v>19</v>
      </c>
      <c r="H291" s="1" t="s">
        <v>1279</v>
      </c>
      <c r="I291" s="1" t="s">
        <v>1280</v>
      </c>
      <c r="J291" s="1" t="str">
        <f t="shared" si="1"/>
        <v>Non-Compliant</v>
      </c>
      <c r="K291" s="1" t="str">
        <f t="shared" si="2"/>
        <v>Non-Incentive</v>
      </c>
      <c r="L291" s="1" t="str">
        <f t="shared" si="3"/>
        <v>TUG</v>
      </c>
      <c r="M291" s="1">
        <f t="shared" si="4"/>
        <v>3</v>
      </c>
      <c r="N291" s="1">
        <f t="shared" si="5"/>
        <v>2017</v>
      </c>
    </row>
    <row r="292" ht="15.75" customHeight="1">
      <c r="A292" s="1" t="s">
        <v>14</v>
      </c>
      <c r="B292" s="1">
        <v>1071189.0</v>
      </c>
      <c r="C292" s="1" t="s">
        <v>1257</v>
      </c>
      <c r="D292" s="1" t="s">
        <v>1273</v>
      </c>
      <c r="E292" s="1" t="s">
        <v>1247</v>
      </c>
      <c r="F292" s="1" t="s">
        <v>1274</v>
      </c>
      <c r="G292" s="1" t="s">
        <v>19</v>
      </c>
      <c r="H292" s="1" t="s">
        <v>1275</v>
      </c>
      <c r="I292" s="1" t="s">
        <v>1276</v>
      </c>
      <c r="J292" s="1" t="str">
        <f t="shared" si="1"/>
        <v>Non-Compliant</v>
      </c>
      <c r="K292" s="1" t="str">
        <f t="shared" si="2"/>
        <v>Non-Incentive</v>
      </c>
      <c r="L292" s="1" t="str">
        <f t="shared" si="3"/>
        <v>TUG</v>
      </c>
      <c r="M292" s="1">
        <f t="shared" si="4"/>
        <v>3</v>
      </c>
      <c r="N292" s="1">
        <f t="shared" si="5"/>
        <v>2017</v>
      </c>
    </row>
    <row r="293" ht="15.75" customHeight="1">
      <c r="A293" s="1" t="s">
        <v>14</v>
      </c>
      <c r="B293" s="1">
        <v>1031757.0</v>
      </c>
      <c r="C293" s="1" t="s">
        <v>1240</v>
      </c>
      <c r="D293" s="1" t="s">
        <v>1241</v>
      </c>
      <c r="E293" s="1" t="s">
        <v>1242</v>
      </c>
      <c r="F293" s="1" t="s">
        <v>1243</v>
      </c>
      <c r="G293" s="1" t="s">
        <v>19</v>
      </c>
      <c r="H293" s="1" t="s">
        <v>1244</v>
      </c>
      <c r="I293" s="1" t="s">
        <v>1245</v>
      </c>
      <c r="J293" s="1" t="str">
        <f t="shared" si="1"/>
        <v>Non-Compliant</v>
      </c>
      <c r="K293" s="1" t="str">
        <f t="shared" si="2"/>
        <v>Non-Incentive</v>
      </c>
      <c r="L293" s="1" t="str">
        <f t="shared" si="3"/>
        <v>TUG</v>
      </c>
      <c r="M293" s="1">
        <f t="shared" si="4"/>
        <v>3</v>
      </c>
      <c r="N293" s="1">
        <f t="shared" si="5"/>
        <v>2017</v>
      </c>
    </row>
    <row r="294" ht="15.75" customHeight="1">
      <c r="A294" s="1" t="s">
        <v>14</v>
      </c>
      <c r="B294" s="1">
        <v>9346238.0</v>
      </c>
      <c r="C294" s="1" t="s">
        <v>1038</v>
      </c>
      <c r="D294" s="1" t="s">
        <v>1043</v>
      </c>
      <c r="E294" s="1" t="s">
        <v>1044</v>
      </c>
      <c r="F294" s="1" t="s">
        <v>1045</v>
      </c>
      <c r="G294" s="1" t="s">
        <v>37</v>
      </c>
      <c r="H294" s="1" t="s">
        <v>1046</v>
      </c>
      <c r="I294" s="1" t="s">
        <v>1047</v>
      </c>
      <c r="J294" s="1" t="str">
        <f t="shared" si="1"/>
        <v>Non-Compliant</v>
      </c>
      <c r="K294" s="1" t="str">
        <f t="shared" si="2"/>
        <v>Non-Incentive</v>
      </c>
      <c r="L294" s="1" t="str">
        <f t="shared" si="3"/>
        <v>TUG</v>
      </c>
      <c r="M294" s="1">
        <f t="shared" si="4"/>
        <v>3</v>
      </c>
      <c r="N294" s="1">
        <f t="shared" si="5"/>
        <v>2017</v>
      </c>
    </row>
    <row r="295" ht="15.75" customHeight="1">
      <c r="A295" s="1" t="s">
        <v>14</v>
      </c>
      <c r="B295" s="1">
        <v>8201692.0</v>
      </c>
      <c r="C295" s="1" t="s">
        <v>415</v>
      </c>
      <c r="D295" s="1" t="s">
        <v>416</v>
      </c>
      <c r="E295" s="1" t="s">
        <v>380</v>
      </c>
      <c r="F295" s="1" t="s">
        <v>417</v>
      </c>
      <c r="G295" s="1" t="s">
        <v>19</v>
      </c>
      <c r="H295" s="1" t="s">
        <v>418</v>
      </c>
      <c r="I295" s="1" t="s">
        <v>419</v>
      </c>
      <c r="J295" s="1" t="str">
        <f t="shared" si="1"/>
        <v>Non-Compliant</v>
      </c>
      <c r="K295" s="1" t="str">
        <f t="shared" si="2"/>
        <v>Non-Incentive</v>
      </c>
      <c r="L295" s="1" t="str">
        <f t="shared" si="3"/>
        <v>TUG</v>
      </c>
      <c r="M295" s="1">
        <f t="shared" si="4"/>
        <v>3</v>
      </c>
      <c r="N295" s="1">
        <f t="shared" si="5"/>
        <v>2017</v>
      </c>
    </row>
    <row r="296" ht="15.75" customHeight="1">
      <c r="A296" s="1" t="s">
        <v>14</v>
      </c>
      <c r="B296" s="1">
        <v>8146066.0</v>
      </c>
      <c r="C296" s="1" t="s">
        <v>362</v>
      </c>
      <c r="D296" s="1" t="s">
        <v>379</v>
      </c>
      <c r="E296" s="1" t="s">
        <v>380</v>
      </c>
      <c r="F296" s="1" t="s">
        <v>381</v>
      </c>
      <c r="G296" s="1" t="s">
        <v>19</v>
      </c>
      <c r="H296" s="1" t="s">
        <v>382</v>
      </c>
      <c r="I296" s="1" t="s">
        <v>383</v>
      </c>
      <c r="J296" s="1" t="str">
        <f t="shared" si="1"/>
        <v>Non-Compliant</v>
      </c>
      <c r="K296" s="1" t="str">
        <f t="shared" si="2"/>
        <v>Non-Incentive</v>
      </c>
      <c r="L296" s="1" t="str">
        <f t="shared" si="3"/>
        <v>TUG</v>
      </c>
      <c r="M296" s="1">
        <f t="shared" si="4"/>
        <v>3</v>
      </c>
      <c r="N296" s="1">
        <f t="shared" si="5"/>
        <v>2017</v>
      </c>
    </row>
    <row r="297" ht="15.75" customHeight="1">
      <c r="A297" s="1" t="s">
        <v>14</v>
      </c>
      <c r="B297" s="1">
        <v>8067051.0</v>
      </c>
      <c r="C297" s="1" t="s">
        <v>316</v>
      </c>
      <c r="D297" s="1" t="s">
        <v>335</v>
      </c>
      <c r="E297" s="1" t="s">
        <v>336</v>
      </c>
      <c r="F297" s="1" t="s">
        <v>337</v>
      </c>
      <c r="G297" s="1" t="s">
        <v>19</v>
      </c>
      <c r="H297" s="1" t="s">
        <v>338</v>
      </c>
      <c r="I297" s="1" t="s">
        <v>339</v>
      </c>
      <c r="J297" s="1" t="str">
        <f t="shared" si="1"/>
        <v>Non-Compliant</v>
      </c>
      <c r="K297" s="1" t="str">
        <f t="shared" si="2"/>
        <v>Non-Incentive</v>
      </c>
      <c r="L297" s="1" t="str">
        <f t="shared" si="3"/>
        <v>TUG</v>
      </c>
      <c r="M297" s="1">
        <f t="shared" si="4"/>
        <v>3</v>
      </c>
      <c r="N297" s="1">
        <f t="shared" si="5"/>
        <v>2017</v>
      </c>
    </row>
    <row r="298" ht="15.75" customHeight="1">
      <c r="A298" s="1" t="s">
        <v>14</v>
      </c>
      <c r="B298" s="1">
        <v>8169500.0</v>
      </c>
      <c r="C298" s="1" t="s">
        <v>386</v>
      </c>
      <c r="D298" s="1" t="s">
        <v>394</v>
      </c>
      <c r="E298" s="1" t="s">
        <v>395</v>
      </c>
      <c r="F298" s="1" t="s">
        <v>396</v>
      </c>
      <c r="G298" s="1" t="s">
        <v>37</v>
      </c>
      <c r="H298" s="1" t="s">
        <v>397</v>
      </c>
      <c r="I298" s="1" t="s">
        <v>398</v>
      </c>
      <c r="J298" s="1" t="str">
        <f t="shared" si="1"/>
        <v>Non-Compliant</v>
      </c>
      <c r="K298" s="1" t="str">
        <f t="shared" si="2"/>
        <v>Non-Incentive</v>
      </c>
      <c r="L298" s="1" t="str">
        <f t="shared" si="3"/>
        <v>TUG</v>
      </c>
      <c r="M298" s="1">
        <f t="shared" si="4"/>
        <v>3</v>
      </c>
      <c r="N298" s="1">
        <f t="shared" si="5"/>
        <v>2017</v>
      </c>
    </row>
    <row r="299" ht="15.75" customHeight="1">
      <c r="A299" s="1" t="s">
        <v>14</v>
      </c>
      <c r="B299" s="1">
        <v>1099071.0</v>
      </c>
      <c r="C299" s="1" t="s">
        <v>1290</v>
      </c>
      <c r="D299" s="1" t="s">
        <v>1295</v>
      </c>
      <c r="E299" s="1" t="s">
        <v>1269</v>
      </c>
      <c r="F299" s="1" t="s">
        <v>1296</v>
      </c>
      <c r="G299" s="1" t="s">
        <v>19</v>
      </c>
      <c r="H299" s="1" t="s">
        <v>1297</v>
      </c>
      <c r="I299" s="1" t="s">
        <v>1298</v>
      </c>
      <c r="J299" s="1" t="str">
        <f t="shared" si="1"/>
        <v>Non-Compliant</v>
      </c>
      <c r="K299" s="1" t="str">
        <f t="shared" si="2"/>
        <v>Non-Incentive</v>
      </c>
      <c r="L299" s="1" t="str">
        <f t="shared" si="3"/>
        <v>TUG</v>
      </c>
      <c r="M299" s="1">
        <f t="shared" si="4"/>
        <v>3</v>
      </c>
      <c r="N299" s="1">
        <f t="shared" si="5"/>
        <v>2017</v>
      </c>
    </row>
    <row r="300" ht="15.75" customHeight="1">
      <c r="A300" s="1" t="s">
        <v>14</v>
      </c>
      <c r="B300" s="1">
        <v>1064566.0</v>
      </c>
      <c r="C300" s="1" t="s">
        <v>1257</v>
      </c>
      <c r="D300" s="1" t="s">
        <v>1268</v>
      </c>
      <c r="E300" s="1" t="s">
        <v>1269</v>
      </c>
      <c r="F300" s="1" t="s">
        <v>1270</v>
      </c>
      <c r="G300" s="1" t="s">
        <v>1271</v>
      </c>
      <c r="H300" s="1" t="s">
        <v>1272</v>
      </c>
      <c r="I300" s="1" t="s">
        <v>111</v>
      </c>
      <c r="J300" s="1" t="str">
        <f t="shared" si="1"/>
        <v>Non-Compliant</v>
      </c>
      <c r="K300" s="1" t="str">
        <f t="shared" si="2"/>
        <v>Non-Incentive</v>
      </c>
      <c r="L300" s="1" t="str">
        <f t="shared" si="3"/>
        <v>TUG</v>
      </c>
      <c r="M300" s="1">
        <f t="shared" si="4"/>
        <v>3</v>
      </c>
      <c r="N300" s="1">
        <f t="shared" si="5"/>
        <v>2017</v>
      </c>
    </row>
    <row r="301" ht="15.75" customHeight="1">
      <c r="A301" s="1" t="s">
        <v>14</v>
      </c>
      <c r="B301" s="1">
        <v>9962200.0</v>
      </c>
      <c r="C301" s="1" t="s">
        <v>1225</v>
      </c>
      <c r="D301" s="1" t="s">
        <v>1226</v>
      </c>
      <c r="E301" s="1" t="s">
        <v>1227</v>
      </c>
      <c r="F301" s="1" t="s">
        <v>1228</v>
      </c>
      <c r="G301" s="1" t="s">
        <v>19</v>
      </c>
      <c r="H301" s="1" t="s">
        <v>1229</v>
      </c>
      <c r="I301" s="1" t="s">
        <v>32</v>
      </c>
      <c r="J301" s="1" t="str">
        <f t="shared" si="1"/>
        <v>Non-Compliant</v>
      </c>
      <c r="K301" s="1" t="str">
        <f t="shared" si="2"/>
        <v>Non-Incentive</v>
      </c>
      <c r="L301" s="1" t="str">
        <f t="shared" si="3"/>
        <v>TUG</v>
      </c>
      <c r="M301" s="1">
        <f t="shared" si="4"/>
        <v>3</v>
      </c>
      <c r="N301" s="1">
        <f t="shared" si="5"/>
        <v>2017</v>
      </c>
    </row>
    <row r="302" ht="15.75" customHeight="1">
      <c r="A302" s="1" t="s">
        <v>14</v>
      </c>
      <c r="B302" s="1">
        <v>1073185.0</v>
      </c>
      <c r="C302" s="1" t="s">
        <v>1257</v>
      </c>
      <c r="D302" s="1" t="s">
        <v>1285</v>
      </c>
      <c r="E302" s="1" t="s">
        <v>1286</v>
      </c>
      <c r="F302" s="1" t="s">
        <v>1287</v>
      </c>
      <c r="G302" s="1" t="s">
        <v>37</v>
      </c>
      <c r="H302" s="1" t="s">
        <v>1288</v>
      </c>
      <c r="I302" s="1" t="s">
        <v>1289</v>
      </c>
      <c r="J302" s="1" t="str">
        <f t="shared" si="1"/>
        <v>Non-Compliant</v>
      </c>
      <c r="K302" s="1" t="str">
        <f t="shared" si="2"/>
        <v>Non-Incentive</v>
      </c>
      <c r="L302" s="1" t="str">
        <f t="shared" si="3"/>
        <v>TUG</v>
      </c>
      <c r="M302" s="1">
        <f t="shared" si="4"/>
        <v>3</v>
      </c>
      <c r="N302" s="1">
        <f t="shared" si="5"/>
        <v>2017</v>
      </c>
    </row>
    <row r="303" ht="15.75" customHeight="1">
      <c r="A303" s="1" t="s">
        <v>14</v>
      </c>
      <c r="B303" s="1">
        <v>8784077.0</v>
      </c>
      <c r="C303" s="1" t="s">
        <v>790</v>
      </c>
      <c r="D303" s="1" t="s">
        <v>800</v>
      </c>
      <c r="E303" s="1" t="s">
        <v>801</v>
      </c>
      <c r="F303" s="1" t="s">
        <v>802</v>
      </c>
      <c r="G303" s="1" t="s">
        <v>19</v>
      </c>
      <c r="H303" s="1" t="s">
        <v>803</v>
      </c>
      <c r="I303" s="1" t="s">
        <v>111</v>
      </c>
      <c r="J303" s="1" t="str">
        <f t="shared" si="1"/>
        <v>Non-Compliant</v>
      </c>
      <c r="K303" s="1" t="str">
        <f t="shared" si="2"/>
        <v>Non-Incentive</v>
      </c>
      <c r="L303" s="1" t="str">
        <f t="shared" si="3"/>
        <v>TUG</v>
      </c>
      <c r="M303" s="1">
        <f t="shared" si="4"/>
        <v>3</v>
      </c>
      <c r="N303" s="1">
        <f t="shared" si="5"/>
        <v>2017</v>
      </c>
    </row>
    <row r="304" ht="15.75" customHeight="1">
      <c r="A304" s="1" t="s">
        <v>14</v>
      </c>
      <c r="B304" s="1">
        <v>8775656.0</v>
      </c>
      <c r="C304" s="1" t="s">
        <v>790</v>
      </c>
      <c r="D304" s="1" t="s">
        <v>791</v>
      </c>
      <c r="E304" s="1" t="s">
        <v>792</v>
      </c>
      <c r="F304" s="1" t="s">
        <v>793</v>
      </c>
      <c r="G304" s="1" t="s">
        <v>37</v>
      </c>
      <c r="H304" s="1" t="s">
        <v>794</v>
      </c>
      <c r="I304" s="1" t="s">
        <v>795</v>
      </c>
      <c r="J304" s="1" t="str">
        <f t="shared" si="1"/>
        <v>Non-Compliant</v>
      </c>
      <c r="K304" s="1" t="str">
        <f t="shared" si="2"/>
        <v>Non-Incentive</v>
      </c>
      <c r="L304" s="1" t="str">
        <f t="shared" si="3"/>
        <v>TUG</v>
      </c>
      <c r="M304" s="1">
        <f t="shared" si="4"/>
        <v>3</v>
      </c>
      <c r="N304" s="1">
        <f t="shared" si="5"/>
        <v>2017</v>
      </c>
    </row>
    <row r="305" ht="15.75" customHeight="1">
      <c r="A305" s="1" t="s">
        <v>14</v>
      </c>
      <c r="B305" s="1">
        <v>8239122.0</v>
      </c>
      <c r="C305" s="1" t="s">
        <v>448</v>
      </c>
      <c r="D305" s="1" t="s">
        <v>458</v>
      </c>
      <c r="E305" s="1" t="s">
        <v>358</v>
      </c>
      <c r="F305" s="1" t="s">
        <v>459</v>
      </c>
      <c r="G305" s="1" t="s">
        <v>460</v>
      </c>
      <c r="H305" s="1" t="s">
        <v>461</v>
      </c>
      <c r="I305" s="1" t="s">
        <v>462</v>
      </c>
      <c r="J305" s="1" t="str">
        <f t="shared" si="1"/>
        <v>Non-Compliant</v>
      </c>
      <c r="K305" s="1" t="str">
        <f t="shared" si="2"/>
        <v>Non-Incentive</v>
      </c>
      <c r="L305" s="1" t="str">
        <f t="shared" si="3"/>
        <v>TUG</v>
      </c>
      <c r="M305" s="1">
        <f t="shared" si="4"/>
        <v>3</v>
      </c>
      <c r="N305" s="1">
        <f t="shared" si="5"/>
        <v>2017</v>
      </c>
    </row>
    <row r="306" ht="15.75" customHeight="1">
      <c r="A306" s="1" t="s">
        <v>14</v>
      </c>
      <c r="B306" s="1">
        <v>8239128.0</v>
      </c>
      <c r="C306" s="1" t="s">
        <v>448</v>
      </c>
      <c r="D306" s="1" t="s">
        <v>463</v>
      </c>
      <c r="E306" s="1" t="s">
        <v>358</v>
      </c>
      <c r="F306" s="1" t="s">
        <v>459</v>
      </c>
      <c r="G306" s="1" t="s">
        <v>460</v>
      </c>
      <c r="H306" s="1" t="s">
        <v>461</v>
      </c>
      <c r="I306" s="1" t="s">
        <v>462</v>
      </c>
      <c r="J306" s="1" t="str">
        <f t="shared" si="1"/>
        <v>Non-Compliant</v>
      </c>
      <c r="K306" s="1" t="str">
        <f t="shared" si="2"/>
        <v>Non-Incentive</v>
      </c>
      <c r="L306" s="1" t="str">
        <f t="shared" si="3"/>
        <v>TUG</v>
      </c>
      <c r="M306" s="1">
        <f t="shared" si="4"/>
        <v>3</v>
      </c>
      <c r="N306" s="1">
        <f t="shared" si="5"/>
        <v>2017</v>
      </c>
    </row>
    <row r="307" ht="15.75" customHeight="1">
      <c r="A307" s="1" t="s">
        <v>14</v>
      </c>
      <c r="B307" s="1">
        <v>8239129.0</v>
      </c>
      <c r="C307" s="1" t="s">
        <v>448</v>
      </c>
      <c r="D307" s="1" t="s">
        <v>464</v>
      </c>
      <c r="E307" s="1" t="s">
        <v>358</v>
      </c>
      <c r="F307" s="1" t="s">
        <v>459</v>
      </c>
      <c r="G307" s="1" t="s">
        <v>460</v>
      </c>
      <c r="H307" s="1" t="s">
        <v>461</v>
      </c>
      <c r="I307" s="1" t="s">
        <v>462</v>
      </c>
      <c r="J307" s="1" t="str">
        <f t="shared" si="1"/>
        <v>Non-Compliant</v>
      </c>
      <c r="K307" s="1" t="str">
        <f t="shared" si="2"/>
        <v>Non-Incentive</v>
      </c>
      <c r="L307" s="1" t="str">
        <f t="shared" si="3"/>
        <v>TUG</v>
      </c>
      <c r="M307" s="1">
        <f t="shared" si="4"/>
        <v>3</v>
      </c>
      <c r="N307" s="1">
        <f t="shared" si="5"/>
        <v>2017</v>
      </c>
    </row>
    <row r="308" ht="15.75" customHeight="1">
      <c r="A308" s="1" t="s">
        <v>14</v>
      </c>
      <c r="B308" s="1">
        <v>8122393.0</v>
      </c>
      <c r="C308" s="1" t="s">
        <v>356</v>
      </c>
      <c r="D308" s="1" t="s">
        <v>357</v>
      </c>
      <c r="E308" s="1" t="s">
        <v>358</v>
      </c>
      <c r="F308" s="1" t="s">
        <v>359</v>
      </c>
      <c r="G308" s="1" t="s">
        <v>19</v>
      </c>
      <c r="H308" s="1" t="s">
        <v>360</v>
      </c>
      <c r="I308" s="1" t="s">
        <v>361</v>
      </c>
      <c r="J308" s="1" t="str">
        <f t="shared" si="1"/>
        <v>Non-Compliant</v>
      </c>
      <c r="K308" s="1" t="str">
        <f t="shared" si="2"/>
        <v>Non-Incentive</v>
      </c>
      <c r="L308" s="1" t="str">
        <f t="shared" si="3"/>
        <v>TUG</v>
      </c>
      <c r="M308" s="1">
        <f t="shared" si="4"/>
        <v>3</v>
      </c>
      <c r="N308" s="1">
        <f t="shared" si="5"/>
        <v>2017</v>
      </c>
    </row>
    <row r="309" ht="15.75" customHeight="1">
      <c r="A309" s="1" t="s">
        <v>14</v>
      </c>
      <c r="B309" s="1">
        <v>8190870.0</v>
      </c>
      <c r="C309" s="1" t="s">
        <v>407</v>
      </c>
      <c r="D309" s="1" t="s">
        <v>411</v>
      </c>
      <c r="E309" s="1" t="s">
        <v>412</v>
      </c>
      <c r="F309" s="1" t="s">
        <v>413</v>
      </c>
      <c r="G309" s="1" t="s">
        <v>19</v>
      </c>
      <c r="H309" s="1" t="s">
        <v>414</v>
      </c>
      <c r="I309" s="1" t="s">
        <v>32</v>
      </c>
      <c r="J309" s="1" t="str">
        <f t="shared" si="1"/>
        <v>Non-Compliant</v>
      </c>
      <c r="K309" s="1" t="str">
        <f t="shared" si="2"/>
        <v>Non-Incentive</v>
      </c>
      <c r="L309" s="1" t="str">
        <f t="shared" si="3"/>
        <v>TUG</v>
      </c>
      <c r="M309" s="1">
        <f t="shared" si="4"/>
        <v>3</v>
      </c>
      <c r="N309" s="1">
        <f t="shared" si="5"/>
        <v>2017</v>
      </c>
    </row>
    <row r="310" ht="15.75" customHeight="1">
      <c r="A310" s="1" t="s">
        <v>14</v>
      </c>
      <c r="B310" s="1">
        <v>8204016.0</v>
      </c>
      <c r="C310" s="1" t="s">
        <v>415</v>
      </c>
      <c r="D310" s="1" t="s">
        <v>420</v>
      </c>
      <c r="E310" s="1" t="s">
        <v>412</v>
      </c>
      <c r="F310" s="1" t="s">
        <v>421</v>
      </c>
      <c r="G310" s="1" t="s">
        <v>19</v>
      </c>
      <c r="H310" s="1" t="s">
        <v>422</v>
      </c>
      <c r="I310" s="1" t="s">
        <v>32</v>
      </c>
      <c r="J310" s="1" t="str">
        <f t="shared" si="1"/>
        <v>Non-Compliant</v>
      </c>
      <c r="K310" s="1" t="str">
        <f t="shared" si="2"/>
        <v>Non-Incentive</v>
      </c>
      <c r="L310" s="1" t="str">
        <f t="shared" si="3"/>
        <v>TUG</v>
      </c>
      <c r="M310" s="1">
        <f t="shared" si="4"/>
        <v>3</v>
      </c>
      <c r="N310" s="1">
        <f t="shared" si="5"/>
        <v>2017</v>
      </c>
    </row>
    <row r="311" ht="15.75" customHeight="1">
      <c r="A311" s="1" t="s">
        <v>14</v>
      </c>
      <c r="B311" s="1">
        <v>8228343.0</v>
      </c>
      <c r="C311" s="1" t="s">
        <v>415</v>
      </c>
      <c r="D311" s="1" t="s">
        <v>442</v>
      </c>
      <c r="E311" s="1" t="s">
        <v>443</v>
      </c>
      <c r="F311" s="1" t="s">
        <v>444</v>
      </c>
      <c r="G311" s="1" t="s">
        <v>445</v>
      </c>
      <c r="H311" s="1" t="s">
        <v>446</v>
      </c>
      <c r="I311" s="1" t="s">
        <v>447</v>
      </c>
      <c r="J311" s="1" t="str">
        <f t="shared" si="1"/>
        <v>Non-Compliant</v>
      </c>
      <c r="K311" s="1" t="str">
        <f t="shared" si="2"/>
        <v>Non-Incentive</v>
      </c>
      <c r="L311" s="1" t="str">
        <f t="shared" si="3"/>
        <v>TUG</v>
      </c>
      <c r="M311" s="1">
        <f t="shared" si="4"/>
        <v>3</v>
      </c>
      <c r="N311" s="1">
        <f t="shared" si="5"/>
        <v>2017</v>
      </c>
    </row>
    <row r="312" ht="15.75" customHeight="1">
      <c r="A312" s="1" t="s">
        <v>14</v>
      </c>
      <c r="B312" s="1">
        <v>8222240.0</v>
      </c>
      <c r="C312" s="1" t="s">
        <v>415</v>
      </c>
      <c r="D312" s="1" t="s">
        <v>437</v>
      </c>
      <c r="E312" s="1" t="s">
        <v>438</v>
      </c>
      <c r="F312" s="1" t="s">
        <v>439</v>
      </c>
      <c r="G312" s="1" t="s">
        <v>37</v>
      </c>
      <c r="H312" s="1" t="s">
        <v>440</v>
      </c>
      <c r="I312" s="1" t="s">
        <v>441</v>
      </c>
      <c r="J312" s="1" t="str">
        <f t="shared" si="1"/>
        <v>Non-Compliant</v>
      </c>
      <c r="K312" s="1" t="str">
        <f t="shared" si="2"/>
        <v>Non-Incentive</v>
      </c>
      <c r="L312" s="1" t="str">
        <f t="shared" si="3"/>
        <v>TUG</v>
      </c>
      <c r="M312" s="1">
        <f t="shared" si="4"/>
        <v>3</v>
      </c>
      <c r="N312" s="1">
        <f t="shared" si="5"/>
        <v>2017</v>
      </c>
    </row>
    <row r="313" ht="15.75" customHeight="1">
      <c r="A313" s="1" t="s">
        <v>14</v>
      </c>
      <c r="B313" s="1">
        <v>1705753.0</v>
      </c>
      <c r="C313" s="1" t="s">
        <v>1607</v>
      </c>
      <c r="D313" s="1" t="s">
        <v>1616</v>
      </c>
      <c r="E313" s="1" t="s">
        <v>1617</v>
      </c>
      <c r="F313" s="1" t="s">
        <v>1618</v>
      </c>
      <c r="G313" s="1" t="s">
        <v>19</v>
      </c>
      <c r="H313" s="1" t="s">
        <v>1619</v>
      </c>
      <c r="I313" s="1" t="s">
        <v>1620</v>
      </c>
      <c r="J313" s="1" t="str">
        <f t="shared" si="1"/>
        <v>Non-Compliant</v>
      </c>
      <c r="K313" s="1" t="str">
        <f t="shared" si="2"/>
        <v>Non-Incentive</v>
      </c>
      <c r="L313" s="1" t="str">
        <f t="shared" si="3"/>
        <v>TUG</v>
      </c>
      <c r="M313" s="1">
        <f t="shared" si="4"/>
        <v>3</v>
      </c>
      <c r="N313" s="1">
        <f t="shared" si="5"/>
        <v>2017</v>
      </c>
    </row>
    <row r="314" ht="15.75" customHeight="1">
      <c r="A314" s="1" t="s">
        <v>14</v>
      </c>
      <c r="B314" s="1">
        <v>1696466.0</v>
      </c>
      <c r="C314" s="1" t="s">
        <v>1607</v>
      </c>
      <c r="D314" s="1" t="s">
        <v>1612</v>
      </c>
      <c r="E314" s="1" t="s">
        <v>1613</v>
      </c>
      <c r="F314" s="1" t="s">
        <v>1614</v>
      </c>
      <c r="G314" s="1" t="s">
        <v>37</v>
      </c>
      <c r="H314" s="1" t="s">
        <v>1615</v>
      </c>
      <c r="I314" s="1" t="s">
        <v>1496</v>
      </c>
      <c r="J314" s="1" t="str">
        <f t="shared" si="1"/>
        <v>Non-Compliant</v>
      </c>
      <c r="K314" s="1" t="str">
        <f t="shared" si="2"/>
        <v>Non-Incentive</v>
      </c>
      <c r="L314" s="1" t="str">
        <f t="shared" si="3"/>
        <v>TUG</v>
      </c>
      <c r="M314" s="1">
        <f t="shared" si="4"/>
        <v>3</v>
      </c>
      <c r="N314" s="1">
        <f t="shared" si="5"/>
        <v>2017</v>
      </c>
    </row>
    <row r="315" ht="15.75" customHeight="1">
      <c r="A315" s="1" t="s">
        <v>14</v>
      </c>
      <c r="B315" s="1">
        <v>9474719.0</v>
      </c>
      <c r="C315" s="1" t="s">
        <v>1061</v>
      </c>
      <c r="D315" s="1" t="s">
        <v>1062</v>
      </c>
      <c r="E315" s="1" t="s">
        <v>1063</v>
      </c>
      <c r="F315" s="1" t="s">
        <v>1064</v>
      </c>
      <c r="G315" s="1" t="s">
        <v>19</v>
      </c>
      <c r="H315" s="1" t="s">
        <v>1065</v>
      </c>
      <c r="I315" s="1" t="s">
        <v>1066</v>
      </c>
      <c r="J315" s="1" t="str">
        <f t="shared" si="1"/>
        <v>Non-Compliant</v>
      </c>
      <c r="K315" s="1" t="str">
        <f t="shared" si="2"/>
        <v>Non-Incentive</v>
      </c>
      <c r="L315" s="1" t="str">
        <f t="shared" si="3"/>
        <v>TUG</v>
      </c>
      <c r="M315" s="1">
        <f t="shared" si="4"/>
        <v>3</v>
      </c>
      <c r="N315" s="1">
        <f t="shared" si="5"/>
        <v>2017</v>
      </c>
    </row>
    <row r="316" ht="15.75" customHeight="1">
      <c r="A316" s="1" t="s">
        <v>14</v>
      </c>
      <c r="B316" s="1">
        <v>8796298.0</v>
      </c>
      <c r="C316" s="1" t="s">
        <v>804</v>
      </c>
      <c r="D316" s="1" t="s">
        <v>810</v>
      </c>
      <c r="E316" s="1" t="s">
        <v>811</v>
      </c>
      <c r="F316" s="1" t="s">
        <v>812</v>
      </c>
      <c r="G316" s="1" t="s">
        <v>37</v>
      </c>
      <c r="H316" s="1" t="s">
        <v>813</v>
      </c>
      <c r="I316" s="1" t="s">
        <v>814</v>
      </c>
      <c r="J316" s="1" t="str">
        <f t="shared" si="1"/>
        <v>Non-Compliant</v>
      </c>
      <c r="K316" s="1" t="str">
        <f t="shared" si="2"/>
        <v>Non-Incentive</v>
      </c>
      <c r="L316" s="1" t="str">
        <f t="shared" si="3"/>
        <v>TUG</v>
      </c>
      <c r="M316" s="1">
        <f t="shared" si="4"/>
        <v>3</v>
      </c>
      <c r="N316" s="1">
        <f t="shared" si="5"/>
        <v>2017</v>
      </c>
    </row>
    <row r="317" ht="15.75" customHeight="1">
      <c r="A317" s="1" t="s">
        <v>14</v>
      </c>
      <c r="B317" s="1">
        <v>1682294.0</v>
      </c>
      <c r="C317" s="1" t="s">
        <v>1585</v>
      </c>
      <c r="D317" s="1" t="s">
        <v>1602</v>
      </c>
      <c r="E317" s="1" t="s">
        <v>1603</v>
      </c>
      <c r="F317" s="1" t="s">
        <v>1604</v>
      </c>
      <c r="G317" s="1" t="s">
        <v>19</v>
      </c>
      <c r="H317" s="1" t="s">
        <v>1605</v>
      </c>
      <c r="I317" s="1" t="s">
        <v>1606</v>
      </c>
      <c r="J317" s="1" t="str">
        <f t="shared" si="1"/>
        <v>Non-Compliant</v>
      </c>
      <c r="K317" s="1" t="str">
        <f t="shared" si="2"/>
        <v>Non-Incentive</v>
      </c>
      <c r="L317" s="1" t="str">
        <f t="shared" si="3"/>
        <v>TUG</v>
      </c>
      <c r="M317" s="1">
        <f t="shared" si="4"/>
        <v>3</v>
      </c>
      <c r="N317" s="1">
        <f t="shared" si="5"/>
        <v>2017</v>
      </c>
    </row>
    <row r="318" ht="15.75" customHeight="1">
      <c r="A318" s="1" t="s">
        <v>14</v>
      </c>
      <c r="B318" s="1">
        <v>1773615.0</v>
      </c>
      <c r="C318" s="1" t="s">
        <v>1639</v>
      </c>
      <c r="D318" s="1" t="s">
        <v>1645</v>
      </c>
      <c r="E318" s="1" t="s">
        <v>1603</v>
      </c>
      <c r="F318" s="1" t="s">
        <v>1646</v>
      </c>
      <c r="G318" s="1" t="s">
        <v>19</v>
      </c>
      <c r="H318" s="1" t="s">
        <v>1647</v>
      </c>
      <c r="I318" s="1" t="s">
        <v>1571</v>
      </c>
      <c r="J318" s="1" t="str">
        <f t="shared" si="1"/>
        <v>Non-Compliant</v>
      </c>
      <c r="K318" s="1" t="str">
        <f t="shared" si="2"/>
        <v>Non-Incentive</v>
      </c>
      <c r="L318" s="1" t="str">
        <f t="shared" si="3"/>
        <v>TUG</v>
      </c>
      <c r="M318" s="1">
        <f t="shared" si="4"/>
        <v>3</v>
      </c>
      <c r="N318" s="1">
        <f t="shared" si="5"/>
        <v>2017</v>
      </c>
    </row>
    <row r="319" ht="15.75" customHeight="1">
      <c r="A319" s="1" t="s">
        <v>14</v>
      </c>
      <c r="B319" s="1">
        <v>1752198.0</v>
      </c>
      <c r="C319" s="1" t="s">
        <v>1634</v>
      </c>
      <c r="D319" s="1" t="s">
        <v>1635</v>
      </c>
      <c r="E319" s="1" t="s">
        <v>1603</v>
      </c>
      <c r="F319" s="1" t="s">
        <v>1636</v>
      </c>
      <c r="G319" s="1" t="s">
        <v>19</v>
      </c>
      <c r="H319" s="1" t="s">
        <v>1637</v>
      </c>
      <c r="I319" s="1" t="s">
        <v>1638</v>
      </c>
      <c r="J319" s="1" t="str">
        <f t="shared" si="1"/>
        <v>Non-Compliant</v>
      </c>
      <c r="K319" s="1" t="str">
        <f t="shared" si="2"/>
        <v>Non-Incentive</v>
      </c>
      <c r="L319" s="1" t="str">
        <f t="shared" si="3"/>
        <v>TUG</v>
      </c>
      <c r="M319" s="1">
        <f t="shared" si="4"/>
        <v>3</v>
      </c>
      <c r="N319" s="1">
        <f t="shared" si="5"/>
        <v>2017</v>
      </c>
    </row>
    <row r="320" ht="15.75" customHeight="1">
      <c r="A320" s="1" t="s">
        <v>14</v>
      </c>
      <c r="B320" s="1">
        <v>1780079.0</v>
      </c>
      <c r="C320" s="1" t="s">
        <v>1639</v>
      </c>
      <c r="D320" s="1" t="s">
        <v>1653</v>
      </c>
      <c r="E320" s="1" t="s">
        <v>1603</v>
      </c>
      <c r="F320" s="1" t="s">
        <v>1623</v>
      </c>
      <c r="G320" s="1" t="s">
        <v>19</v>
      </c>
      <c r="H320" s="1" t="s">
        <v>1654</v>
      </c>
      <c r="I320" s="1" t="s">
        <v>1625</v>
      </c>
      <c r="J320" s="1" t="str">
        <f t="shared" si="1"/>
        <v>Non-Compliant</v>
      </c>
      <c r="K320" s="1" t="str">
        <f t="shared" si="2"/>
        <v>Non-Incentive</v>
      </c>
      <c r="L320" s="1" t="str">
        <f t="shared" si="3"/>
        <v>TUG</v>
      </c>
      <c r="M320" s="1">
        <f t="shared" si="4"/>
        <v>3</v>
      </c>
      <c r="N320" s="1">
        <f t="shared" si="5"/>
        <v>2017</v>
      </c>
    </row>
    <row r="321" ht="15.75" customHeight="1">
      <c r="A321" s="1" t="s">
        <v>14</v>
      </c>
      <c r="B321" s="1">
        <v>1719344.0</v>
      </c>
      <c r="C321" s="1" t="s">
        <v>1621</v>
      </c>
      <c r="D321" s="1" t="s">
        <v>1608</v>
      </c>
      <c r="E321" s="1" t="s">
        <v>1559</v>
      </c>
      <c r="F321" s="1" t="s">
        <v>1626</v>
      </c>
      <c r="G321" s="1" t="s">
        <v>37</v>
      </c>
      <c r="H321" s="1" t="s">
        <v>1627</v>
      </c>
      <c r="I321" s="1" t="s">
        <v>1628</v>
      </c>
      <c r="J321" s="1" t="str">
        <f t="shared" si="1"/>
        <v>Non-Compliant</v>
      </c>
      <c r="K321" s="1" t="str">
        <f t="shared" si="2"/>
        <v>Non-Incentive</v>
      </c>
      <c r="L321" s="1" t="str">
        <f t="shared" si="3"/>
        <v>TUG</v>
      </c>
      <c r="M321" s="1">
        <f t="shared" si="4"/>
        <v>3</v>
      </c>
      <c r="N321" s="1">
        <f t="shared" si="5"/>
        <v>2017</v>
      </c>
    </row>
    <row r="322" ht="15.75" customHeight="1">
      <c r="A322" s="1" t="s">
        <v>14</v>
      </c>
      <c r="B322" s="1">
        <v>1614481.0</v>
      </c>
      <c r="C322" s="1" t="s">
        <v>1553</v>
      </c>
      <c r="D322" s="1" t="s">
        <v>1558</v>
      </c>
      <c r="E322" s="1" t="s">
        <v>1559</v>
      </c>
      <c r="F322" s="1" t="s">
        <v>1560</v>
      </c>
      <c r="G322" s="1" t="s">
        <v>37</v>
      </c>
      <c r="H322" s="1" t="s">
        <v>1561</v>
      </c>
      <c r="I322" s="1" t="s">
        <v>1562</v>
      </c>
      <c r="J322" s="1" t="str">
        <f t="shared" si="1"/>
        <v>Non-Compliant</v>
      </c>
      <c r="K322" s="1" t="str">
        <f t="shared" si="2"/>
        <v>Non-Incentive</v>
      </c>
      <c r="L322" s="1" t="str">
        <f t="shared" si="3"/>
        <v>TUG</v>
      </c>
      <c r="M322" s="1">
        <f t="shared" si="4"/>
        <v>3</v>
      </c>
      <c r="N322" s="1">
        <f t="shared" si="5"/>
        <v>2017</v>
      </c>
    </row>
    <row r="323" ht="15.75" customHeight="1">
      <c r="A323" s="1" t="s">
        <v>14</v>
      </c>
      <c r="B323" s="1">
        <v>7603758.0</v>
      </c>
      <c r="C323" s="1" t="s">
        <v>33</v>
      </c>
      <c r="D323" s="1" t="s">
        <v>34</v>
      </c>
      <c r="E323" s="1" t="s">
        <v>35</v>
      </c>
      <c r="F323" s="1" t="s">
        <v>36</v>
      </c>
      <c r="G323" s="1" t="s">
        <v>37</v>
      </c>
      <c r="H323" s="1" t="s">
        <v>38</v>
      </c>
      <c r="I323" s="1" t="s">
        <v>32</v>
      </c>
      <c r="J323" s="1" t="str">
        <f t="shared" si="1"/>
        <v>Non-Compliant</v>
      </c>
      <c r="K323" s="1" t="str">
        <f t="shared" si="2"/>
        <v>Non-Incentive</v>
      </c>
      <c r="L323" s="1" t="str">
        <f t="shared" si="3"/>
        <v>TUG</v>
      </c>
      <c r="M323" s="1">
        <f t="shared" si="4"/>
        <v>3</v>
      </c>
      <c r="N323" s="1">
        <f t="shared" si="5"/>
        <v>2017</v>
      </c>
    </row>
    <row r="324" ht="15.75" customHeight="1">
      <c r="A324" s="1" t="s">
        <v>14</v>
      </c>
      <c r="B324" s="1">
        <v>9510284.0</v>
      </c>
      <c r="C324" s="1" t="s">
        <v>1067</v>
      </c>
      <c r="D324" s="1" t="s">
        <v>1073</v>
      </c>
      <c r="E324" s="1" t="s">
        <v>1074</v>
      </c>
      <c r="F324" s="1" t="s">
        <v>1075</v>
      </c>
      <c r="G324" s="1" t="s">
        <v>19</v>
      </c>
      <c r="H324" s="1" t="s">
        <v>1076</v>
      </c>
      <c r="I324" s="1" t="s">
        <v>1077</v>
      </c>
      <c r="J324" s="1" t="str">
        <f t="shared" si="1"/>
        <v>Non-Compliant</v>
      </c>
      <c r="K324" s="1" t="str">
        <f t="shared" si="2"/>
        <v>Non-Incentive</v>
      </c>
      <c r="L324" s="1" t="str">
        <f t="shared" si="3"/>
        <v>TUG</v>
      </c>
      <c r="M324" s="1">
        <f t="shared" si="4"/>
        <v>3</v>
      </c>
      <c r="N324" s="1">
        <f t="shared" si="5"/>
        <v>2017</v>
      </c>
    </row>
    <row r="325" ht="15.75" customHeight="1">
      <c r="A325" s="1" t="s">
        <v>14</v>
      </c>
      <c r="B325" s="1">
        <v>8848896.0</v>
      </c>
      <c r="C325" s="1" t="s">
        <v>821</v>
      </c>
      <c r="D325" s="1" t="s">
        <v>822</v>
      </c>
      <c r="E325" s="1" t="s">
        <v>823</v>
      </c>
      <c r="F325" s="1" t="s">
        <v>824</v>
      </c>
      <c r="G325" s="1" t="s">
        <v>19</v>
      </c>
      <c r="H325" s="1" t="s">
        <v>825</v>
      </c>
      <c r="I325" s="1" t="s">
        <v>826</v>
      </c>
      <c r="J325" s="1" t="str">
        <f t="shared" si="1"/>
        <v>Non-Compliant</v>
      </c>
      <c r="K325" s="1" t="str">
        <f t="shared" si="2"/>
        <v>Non-Incentive</v>
      </c>
      <c r="L325" s="1" t="str">
        <f t="shared" si="3"/>
        <v>TUG</v>
      </c>
      <c r="M325" s="1">
        <f t="shared" si="4"/>
        <v>3</v>
      </c>
      <c r="N325" s="1">
        <f t="shared" si="5"/>
        <v>2017</v>
      </c>
    </row>
    <row r="326" ht="15.75" customHeight="1">
      <c r="A326" s="1" t="s">
        <v>14</v>
      </c>
      <c r="B326" s="1">
        <v>8241970.0</v>
      </c>
      <c r="C326" s="1" t="s">
        <v>448</v>
      </c>
      <c r="D326" s="1" t="s">
        <v>465</v>
      </c>
      <c r="E326" s="1" t="s">
        <v>433</v>
      </c>
      <c r="F326" s="1" t="s">
        <v>466</v>
      </c>
      <c r="G326" s="1" t="s">
        <v>467</v>
      </c>
      <c r="H326" s="1" t="s">
        <v>468</v>
      </c>
      <c r="I326" s="1" t="s">
        <v>462</v>
      </c>
      <c r="J326" s="1" t="str">
        <f t="shared" si="1"/>
        <v>Non-Compliant</v>
      </c>
      <c r="K326" s="1" t="str">
        <f t="shared" si="2"/>
        <v>Non-Incentive</v>
      </c>
      <c r="L326" s="1" t="str">
        <f t="shared" si="3"/>
        <v>TUG</v>
      </c>
      <c r="M326" s="1">
        <f t="shared" si="4"/>
        <v>3</v>
      </c>
      <c r="N326" s="1">
        <f t="shared" si="5"/>
        <v>2017</v>
      </c>
    </row>
    <row r="327" ht="15.75" customHeight="1">
      <c r="A327" s="1" t="s">
        <v>14</v>
      </c>
      <c r="B327" s="1">
        <v>8241971.0</v>
      </c>
      <c r="C327" s="1" t="s">
        <v>448</v>
      </c>
      <c r="D327" s="1" t="s">
        <v>469</v>
      </c>
      <c r="E327" s="1" t="s">
        <v>433</v>
      </c>
      <c r="F327" s="1" t="s">
        <v>466</v>
      </c>
      <c r="G327" s="1" t="s">
        <v>467</v>
      </c>
      <c r="H327" s="1" t="s">
        <v>468</v>
      </c>
      <c r="I327" s="1" t="s">
        <v>462</v>
      </c>
      <c r="J327" s="1" t="str">
        <f t="shared" si="1"/>
        <v>Non-Compliant</v>
      </c>
      <c r="K327" s="1" t="str">
        <f t="shared" si="2"/>
        <v>Non-Incentive</v>
      </c>
      <c r="L327" s="1" t="str">
        <f t="shared" si="3"/>
        <v>TUG</v>
      </c>
      <c r="M327" s="1">
        <f t="shared" si="4"/>
        <v>3</v>
      </c>
      <c r="N327" s="1">
        <f t="shared" si="5"/>
        <v>2017</v>
      </c>
    </row>
    <row r="328" ht="15.75" customHeight="1">
      <c r="A328" s="1" t="s">
        <v>14</v>
      </c>
      <c r="B328" s="1">
        <v>8241978.0</v>
      </c>
      <c r="C328" s="1" t="s">
        <v>448</v>
      </c>
      <c r="D328" s="1" t="s">
        <v>470</v>
      </c>
      <c r="E328" s="1" t="s">
        <v>433</v>
      </c>
      <c r="F328" s="1" t="s">
        <v>466</v>
      </c>
      <c r="G328" s="1" t="s">
        <v>471</v>
      </c>
      <c r="H328" s="1" t="s">
        <v>472</v>
      </c>
      <c r="I328" s="1" t="s">
        <v>462</v>
      </c>
      <c r="J328" s="1" t="str">
        <f t="shared" si="1"/>
        <v>Non-Compliant</v>
      </c>
      <c r="K328" s="1" t="str">
        <f t="shared" si="2"/>
        <v>Non-Incentive</v>
      </c>
      <c r="L328" s="1" t="str">
        <f t="shared" si="3"/>
        <v>TUG</v>
      </c>
      <c r="M328" s="1">
        <f t="shared" si="4"/>
        <v>3</v>
      </c>
      <c r="N328" s="1">
        <f t="shared" si="5"/>
        <v>2017</v>
      </c>
    </row>
    <row r="329" ht="15.75" customHeight="1">
      <c r="A329" s="1" t="s">
        <v>14</v>
      </c>
      <c r="B329" s="1">
        <v>8247826.0</v>
      </c>
      <c r="C329" s="1" t="s">
        <v>473</v>
      </c>
      <c r="D329" s="1" t="s">
        <v>474</v>
      </c>
      <c r="E329" s="1" t="s">
        <v>433</v>
      </c>
      <c r="F329" s="1" t="s">
        <v>475</v>
      </c>
      <c r="G329" s="1" t="s">
        <v>19</v>
      </c>
      <c r="H329" s="1" t="s">
        <v>476</v>
      </c>
      <c r="I329" s="1" t="s">
        <v>477</v>
      </c>
      <c r="J329" s="1" t="str">
        <f t="shared" si="1"/>
        <v>Non-Compliant</v>
      </c>
      <c r="K329" s="1" t="str">
        <f t="shared" si="2"/>
        <v>Non-Incentive</v>
      </c>
      <c r="L329" s="1" t="str">
        <f t="shared" si="3"/>
        <v>TUG</v>
      </c>
      <c r="M329" s="1">
        <f t="shared" si="4"/>
        <v>3</v>
      </c>
      <c r="N329" s="1">
        <f t="shared" si="5"/>
        <v>2017</v>
      </c>
    </row>
    <row r="330" ht="15.75" customHeight="1">
      <c r="A330" s="1" t="s">
        <v>14</v>
      </c>
      <c r="B330" s="1">
        <v>8220992.0</v>
      </c>
      <c r="C330" s="1" t="s">
        <v>415</v>
      </c>
      <c r="D330" s="1" t="s">
        <v>432</v>
      </c>
      <c r="E330" s="1" t="s">
        <v>433</v>
      </c>
      <c r="F330" s="1" t="s">
        <v>434</v>
      </c>
      <c r="G330" s="1" t="s">
        <v>19</v>
      </c>
      <c r="H330" s="1" t="s">
        <v>435</v>
      </c>
      <c r="I330" s="1" t="s">
        <v>436</v>
      </c>
      <c r="J330" s="1" t="str">
        <f t="shared" si="1"/>
        <v>Non-Compliant</v>
      </c>
      <c r="K330" s="1" t="str">
        <f t="shared" si="2"/>
        <v>Non-Incentive</v>
      </c>
      <c r="L330" s="1" t="str">
        <f t="shared" si="3"/>
        <v>TUG</v>
      </c>
      <c r="M330" s="1">
        <f t="shared" si="4"/>
        <v>3</v>
      </c>
      <c r="N330" s="1">
        <f t="shared" si="5"/>
        <v>2017</v>
      </c>
    </row>
    <row r="331" ht="15.75" customHeight="1">
      <c r="A331" s="1" t="s">
        <v>14</v>
      </c>
      <c r="B331" s="1">
        <v>1787183.0</v>
      </c>
      <c r="C331" s="1" t="s">
        <v>1639</v>
      </c>
      <c r="D331" s="1" t="s">
        <v>1655</v>
      </c>
      <c r="E331" s="1" t="s">
        <v>1656</v>
      </c>
      <c r="F331" s="1" t="s">
        <v>1657</v>
      </c>
      <c r="G331" s="1" t="s">
        <v>19</v>
      </c>
      <c r="H331" s="1" t="s">
        <v>1658</v>
      </c>
      <c r="I331" s="1" t="s">
        <v>1567</v>
      </c>
      <c r="J331" s="1" t="str">
        <f t="shared" si="1"/>
        <v>Non-Compliant</v>
      </c>
      <c r="K331" s="1" t="str">
        <f t="shared" si="2"/>
        <v>Non-Incentive</v>
      </c>
      <c r="L331" s="1" t="str">
        <f t="shared" si="3"/>
        <v>TUG</v>
      </c>
      <c r="M331" s="1">
        <f t="shared" si="4"/>
        <v>3</v>
      </c>
      <c r="N331" s="1">
        <f t="shared" si="5"/>
        <v>2017</v>
      </c>
    </row>
    <row r="332" ht="15.75" customHeight="1">
      <c r="A332" s="1" t="s">
        <v>14</v>
      </c>
      <c r="B332" s="1">
        <v>1729499.0</v>
      </c>
      <c r="C332" s="1" t="s">
        <v>1621</v>
      </c>
      <c r="D332" s="1" t="s">
        <v>1629</v>
      </c>
      <c r="E332" s="1" t="s">
        <v>1630</v>
      </c>
      <c r="F332" s="1" t="s">
        <v>1631</v>
      </c>
      <c r="G332" s="1" t="s">
        <v>19</v>
      </c>
      <c r="H332" s="1" t="s">
        <v>1632</v>
      </c>
      <c r="I332" s="1" t="s">
        <v>1633</v>
      </c>
      <c r="J332" s="1" t="str">
        <f t="shared" si="1"/>
        <v>Non-Compliant</v>
      </c>
      <c r="K332" s="1" t="str">
        <f t="shared" si="2"/>
        <v>Non-Incentive</v>
      </c>
      <c r="L332" s="1" t="str">
        <f t="shared" si="3"/>
        <v>TUG</v>
      </c>
      <c r="M332" s="1">
        <f t="shared" si="4"/>
        <v>3</v>
      </c>
      <c r="N332" s="1">
        <f t="shared" si="5"/>
        <v>2017</v>
      </c>
    </row>
    <row r="333" ht="15.75" customHeight="1">
      <c r="A333" s="1" t="s">
        <v>14</v>
      </c>
      <c r="B333" s="1">
        <v>1773410.0</v>
      </c>
      <c r="C333" s="1" t="s">
        <v>1639</v>
      </c>
      <c r="D333" s="1" t="s">
        <v>1640</v>
      </c>
      <c r="E333" s="1" t="s">
        <v>1641</v>
      </c>
      <c r="F333" s="1" t="s">
        <v>1642</v>
      </c>
      <c r="G333" s="1" t="s">
        <v>37</v>
      </c>
      <c r="H333" s="1" t="s">
        <v>1643</v>
      </c>
      <c r="I333" s="1" t="s">
        <v>1644</v>
      </c>
      <c r="J333" s="1" t="str">
        <f t="shared" si="1"/>
        <v>Non-Compliant</v>
      </c>
      <c r="K333" s="1" t="str">
        <f t="shared" si="2"/>
        <v>Non-Incentive</v>
      </c>
      <c r="L333" s="1" t="str">
        <f t="shared" si="3"/>
        <v>TUG</v>
      </c>
      <c r="M333" s="1">
        <f t="shared" si="4"/>
        <v>3</v>
      </c>
      <c r="N333" s="1">
        <f t="shared" si="5"/>
        <v>2017</v>
      </c>
    </row>
    <row r="334" ht="15.75" customHeight="1">
      <c r="A334" s="1" t="s">
        <v>14</v>
      </c>
      <c r="B334" s="1">
        <v>1809398.0</v>
      </c>
      <c r="C334" s="1" t="s">
        <v>1663</v>
      </c>
      <c r="D334" s="1" t="s">
        <v>1668</v>
      </c>
      <c r="E334" s="1" t="s">
        <v>1641</v>
      </c>
      <c r="F334" s="1" t="s">
        <v>1669</v>
      </c>
      <c r="G334" s="1" t="s">
        <v>37</v>
      </c>
      <c r="H334" s="1" t="s">
        <v>1670</v>
      </c>
      <c r="I334" s="1" t="s">
        <v>1671</v>
      </c>
      <c r="J334" s="1" t="str">
        <f t="shared" si="1"/>
        <v>Non-Compliant</v>
      </c>
      <c r="K334" s="1" t="str">
        <f t="shared" si="2"/>
        <v>Non-Incentive</v>
      </c>
      <c r="L334" s="1" t="str">
        <f t="shared" si="3"/>
        <v>TUG</v>
      </c>
      <c r="M334" s="1">
        <f t="shared" si="4"/>
        <v>3</v>
      </c>
      <c r="N334" s="1">
        <f t="shared" si="5"/>
        <v>2017</v>
      </c>
    </row>
    <row r="335" ht="15.75" customHeight="1">
      <c r="A335" s="1" t="s">
        <v>14</v>
      </c>
      <c r="B335" s="1">
        <v>7616933.0</v>
      </c>
      <c r="C335" s="1" t="s">
        <v>33</v>
      </c>
      <c r="D335" s="1" t="s">
        <v>39</v>
      </c>
      <c r="E335" s="1" t="s">
        <v>40</v>
      </c>
      <c r="F335" s="1" t="s">
        <v>41</v>
      </c>
      <c r="G335" s="1" t="s">
        <v>19</v>
      </c>
      <c r="H335" s="1" t="s">
        <v>42</v>
      </c>
      <c r="I335" s="1" t="s">
        <v>43</v>
      </c>
      <c r="J335" s="1" t="str">
        <f t="shared" si="1"/>
        <v>Non-Compliant</v>
      </c>
      <c r="K335" s="1" t="str">
        <f t="shared" si="2"/>
        <v>Non-Incentive</v>
      </c>
      <c r="L335" s="1" t="str">
        <f t="shared" si="3"/>
        <v>TUG</v>
      </c>
      <c r="M335" s="1">
        <f t="shared" si="4"/>
        <v>3</v>
      </c>
      <c r="N335" s="1">
        <f t="shared" si="5"/>
        <v>2017</v>
      </c>
    </row>
    <row r="336" ht="15.75" customHeight="1">
      <c r="A336" s="1" t="s">
        <v>14</v>
      </c>
      <c r="B336" s="1">
        <v>7623801.0</v>
      </c>
      <c r="C336" s="1" t="s">
        <v>44</v>
      </c>
      <c r="D336" s="1" t="s">
        <v>45</v>
      </c>
      <c r="E336" s="1" t="s">
        <v>46</v>
      </c>
      <c r="F336" s="1" t="s">
        <v>47</v>
      </c>
      <c r="G336" s="1" t="s">
        <v>19</v>
      </c>
      <c r="H336" s="1" t="s">
        <v>48</v>
      </c>
      <c r="I336" s="1" t="s">
        <v>49</v>
      </c>
      <c r="J336" s="1" t="str">
        <f t="shared" si="1"/>
        <v>Non-Compliant</v>
      </c>
      <c r="K336" s="1" t="str">
        <f t="shared" si="2"/>
        <v>Non-Incentive</v>
      </c>
      <c r="L336" s="1" t="str">
        <f t="shared" si="3"/>
        <v>TUG</v>
      </c>
      <c r="M336" s="1">
        <f t="shared" si="4"/>
        <v>3</v>
      </c>
      <c r="N336" s="1">
        <f t="shared" si="5"/>
        <v>2017</v>
      </c>
    </row>
    <row r="337" ht="15.75" customHeight="1">
      <c r="A337" s="1" t="s">
        <v>14</v>
      </c>
      <c r="B337" s="1">
        <v>9962305.0</v>
      </c>
      <c r="C337" s="1" t="s">
        <v>1225</v>
      </c>
      <c r="D337" s="1" t="s">
        <v>1230</v>
      </c>
      <c r="E337" s="1" t="s">
        <v>1231</v>
      </c>
      <c r="F337" s="1" t="s">
        <v>1232</v>
      </c>
      <c r="G337" s="1" t="s">
        <v>19</v>
      </c>
      <c r="H337" s="1" t="s">
        <v>1233</v>
      </c>
      <c r="I337" s="1" t="s">
        <v>32</v>
      </c>
      <c r="J337" s="1" t="str">
        <f t="shared" si="1"/>
        <v>Non-Compliant</v>
      </c>
      <c r="K337" s="1" t="str">
        <f t="shared" si="2"/>
        <v>Non-Incentive</v>
      </c>
      <c r="L337" s="1" t="str">
        <f t="shared" si="3"/>
        <v>TUG</v>
      </c>
      <c r="M337" s="1">
        <f t="shared" si="4"/>
        <v>3</v>
      </c>
      <c r="N337" s="1">
        <f t="shared" si="5"/>
        <v>2017</v>
      </c>
    </row>
    <row r="338" ht="15.75" customHeight="1">
      <c r="A338" s="1" t="s">
        <v>14</v>
      </c>
      <c r="B338" s="1">
        <v>1168946.0</v>
      </c>
      <c r="C338" s="1" t="s">
        <v>1299</v>
      </c>
      <c r="D338" s="1" t="s">
        <v>1300</v>
      </c>
      <c r="E338" s="1" t="s">
        <v>1231</v>
      </c>
      <c r="F338" s="1" t="s">
        <v>1301</v>
      </c>
      <c r="G338" s="1" t="s">
        <v>19</v>
      </c>
      <c r="H338" s="1" t="s">
        <v>1302</v>
      </c>
      <c r="I338" s="1" t="s">
        <v>1303</v>
      </c>
      <c r="J338" s="1" t="str">
        <f t="shared" si="1"/>
        <v>Non-Compliant</v>
      </c>
      <c r="K338" s="1" t="str">
        <f t="shared" si="2"/>
        <v>Non-Incentive</v>
      </c>
      <c r="L338" s="1" t="str">
        <f t="shared" si="3"/>
        <v>TUG</v>
      </c>
      <c r="M338" s="1">
        <f t="shared" si="4"/>
        <v>3</v>
      </c>
      <c r="N338" s="1">
        <f t="shared" si="5"/>
        <v>2017</v>
      </c>
    </row>
    <row r="339" ht="15.75" customHeight="1">
      <c r="A339" s="1" t="s">
        <v>14</v>
      </c>
      <c r="B339" s="1">
        <v>1090894.0</v>
      </c>
      <c r="C339" s="1" t="s">
        <v>1290</v>
      </c>
      <c r="D339" s="1" t="s">
        <v>1291</v>
      </c>
      <c r="E339" s="1" t="s">
        <v>1292</v>
      </c>
      <c r="F339" s="1" t="s">
        <v>1293</v>
      </c>
      <c r="G339" s="1" t="s">
        <v>19</v>
      </c>
      <c r="H339" s="1" t="s">
        <v>1294</v>
      </c>
      <c r="I339" s="1" t="s">
        <v>32</v>
      </c>
      <c r="J339" s="1" t="str">
        <f t="shared" si="1"/>
        <v>Non-Compliant</v>
      </c>
      <c r="K339" s="1" t="str">
        <f t="shared" si="2"/>
        <v>Non-Incentive</v>
      </c>
      <c r="L339" s="1" t="str">
        <f t="shared" si="3"/>
        <v>TUG</v>
      </c>
      <c r="M339" s="1">
        <f t="shared" si="4"/>
        <v>3</v>
      </c>
      <c r="N339" s="1">
        <f t="shared" si="5"/>
        <v>2017</v>
      </c>
    </row>
    <row r="340" ht="15.75" customHeight="1">
      <c r="A340" s="1" t="s">
        <v>14</v>
      </c>
      <c r="B340" s="1">
        <v>9492580.0</v>
      </c>
      <c r="C340" s="1" t="s">
        <v>1067</v>
      </c>
      <c r="D340" s="1" t="s">
        <v>1068</v>
      </c>
      <c r="E340" s="1" t="s">
        <v>1069</v>
      </c>
      <c r="F340" s="1" t="s">
        <v>1070</v>
      </c>
      <c r="G340" s="1" t="s">
        <v>19</v>
      </c>
      <c r="H340" s="1" t="s">
        <v>1071</v>
      </c>
      <c r="I340" s="1" t="s">
        <v>1072</v>
      </c>
      <c r="J340" s="1" t="str">
        <f t="shared" si="1"/>
        <v>Non-Compliant</v>
      </c>
      <c r="K340" s="1" t="str">
        <f t="shared" si="2"/>
        <v>Non-Incentive</v>
      </c>
      <c r="L340" s="1" t="str">
        <f t="shared" si="3"/>
        <v>TUG</v>
      </c>
      <c r="M340" s="1">
        <f t="shared" si="4"/>
        <v>3</v>
      </c>
      <c r="N340" s="1">
        <f t="shared" si="5"/>
        <v>2017</v>
      </c>
    </row>
    <row r="341" ht="15.75" customHeight="1">
      <c r="A341" s="1" t="s">
        <v>14</v>
      </c>
      <c r="B341" s="1">
        <v>8849157.0</v>
      </c>
      <c r="C341" s="1" t="s">
        <v>821</v>
      </c>
      <c r="D341" s="1" t="s">
        <v>827</v>
      </c>
      <c r="E341" s="1" t="s">
        <v>828</v>
      </c>
      <c r="F341" s="1" t="s">
        <v>829</v>
      </c>
      <c r="G341" s="1" t="s">
        <v>19</v>
      </c>
      <c r="H341" s="1" t="s">
        <v>830</v>
      </c>
      <c r="I341" s="1" t="s">
        <v>831</v>
      </c>
      <c r="J341" s="1" t="str">
        <f t="shared" si="1"/>
        <v>Non-Compliant</v>
      </c>
      <c r="K341" s="1" t="str">
        <f t="shared" si="2"/>
        <v>Non-Incentive</v>
      </c>
      <c r="L341" s="1" t="str">
        <f t="shared" si="3"/>
        <v>TUG</v>
      </c>
      <c r="M341" s="1">
        <f t="shared" si="4"/>
        <v>3</v>
      </c>
      <c r="N341" s="1">
        <f t="shared" si="5"/>
        <v>2017</v>
      </c>
    </row>
    <row r="342" ht="15.75" customHeight="1">
      <c r="A342" s="1" t="s">
        <v>14</v>
      </c>
      <c r="B342" s="1">
        <v>8876829.0</v>
      </c>
      <c r="C342" s="1" t="s">
        <v>832</v>
      </c>
      <c r="D342" s="1" t="s">
        <v>833</v>
      </c>
      <c r="E342" s="1" t="s">
        <v>834</v>
      </c>
      <c r="F342" s="1" t="s">
        <v>835</v>
      </c>
      <c r="G342" s="1" t="s">
        <v>19</v>
      </c>
      <c r="H342" s="1" t="s">
        <v>836</v>
      </c>
      <c r="I342" s="1" t="s">
        <v>837</v>
      </c>
      <c r="J342" s="1" t="str">
        <f t="shared" si="1"/>
        <v>Non-Compliant</v>
      </c>
      <c r="K342" s="1" t="str">
        <f t="shared" si="2"/>
        <v>Non-Incentive</v>
      </c>
      <c r="L342" s="1" t="str">
        <f t="shared" si="3"/>
        <v>TUG</v>
      </c>
      <c r="M342" s="1">
        <f t="shared" si="4"/>
        <v>3</v>
      </c>
      <c r="N342" s="1">
        <f t="shared" si="5"/>
        <v>2017</v>
      </c>
    </row>
    <row r="343" ht="15.75" customHeight="1">
      <c r="A343" s="1" t="s">
        <v>14</v>
      </c>
      <c r="B343" s="1">
        <v>8876935.0</v>
      </c>
      <c r="C343" s="1" t="s">
        <v>832</v>
      </c>
      <c r="D343" s="1" t="s">
        <v>838</v>
      </c>
      <c r="E343" s="1" t="s">
        <v>834</v>
      </c>
      <c r="F343" s="1" t="s">
        <v>839</v>
      </c>
      <c r="G343" s="1" t="s">
        <v>19</v>
      </c>
      <c r="H343" s="1" t="s">
        <v>840</v>
      </c>
      <c r="I343" s="1" t="s">
        <v>837</v>
      </c>
      <c r="J343" s="1" t="str">
        <f t="shared" si="1"/>
        <v>Non-Compliant</v>
      </c>
      <c r="K343" s="1" t="str">
        <f t="shared" si="2"/>
        <v>Non-Incentive</v>
      </c>
      <c r="L343" s="1" t="str">
        <f t="shared" si="3"/>
        <v>TUG</v>
      </c>
      <c r="M343" s="1">
        <f t="shared" si="4"/>
        <v>3</v>
      </c>
      <c r="N343" s="1">
        <f t="shared" si="5"/>
        <v>2017</v>
      </c>
    </row>
    <row r="344" ht="15.75" customHeight="1">
      <c r="A344" s="1" t="s">
        <v>14</v>
      </c>
      <c r="B344" s="1">
        <v>8234289.0</v>
      </c>
      <c r="C344" s="1" t="s">
        <v>448</v>
      </c>
      <c r="D344" s="1" t="s">
        <v>449</v>
      </c>
      <c r="E344" s="1" t="s">
        <v>450</v>
      </c>
      <c r="F344" s="1" t="s">
        <v>451</v>
      </c>
      <c r="G344" s="1" t="s">
        <v>19</v>
      </c>
      <c r="H344" s="1" t="s">
        <v>452</v>
      </c>
      <c r="I344" s="1" t="s">
        <v>406</v>
      </c>
      <c r="J344" s="1" t="str">
        <f t="shared" si="1"/>
        <v>Non-Compliant</v>
      </c>
      <c r="K344" s="1" t="str">
        <f t="shared" si="2"/>
        <v>Non-Incentive</v>
      </c>
      <c r="L344" s="1" t="str">
        <f t="shared" si="3"/>
        <v>TUG</v>
      </c>
      <c r="M344" s="1">
        <f t="shared" si="4"/>
        <v>3</v>
      </c>
      <c r="N344" s="1">
        <f t="shared" si="5"/>
        <v>2017</v>
      </c>
    </row>
    <row r="345" ht="15.75" customHeight="1">
      <c r="A345" s="1" t="s">
        <v>14</v>
      </c>
      <c r="B345" s="1">
        <v>8216051.0</v>
      </c>
      <c r="C345" s="1" t="s">
        <v>415</v>
      </c>
      <c r="D345" s="1" t="s">
        <v>423</v>
      </c>
      <c r="E345" s="1" t="s">
        <v>424</v>
      </c>
      <c r="F345" s="1" t="s">
        <v>425</v>
      </c>
      <c r="G345" s="1" t="s">
        <v>19</v>
      </c>
      <c r="H345" s="1" t="s">
        <v>426</v>
      </c>
      <c r="I345" s="1" t="s">
        <v>427</v>
      </c>
      <c r="J345" s="1" t="str">
        <f t="shared" si="1"/>
        <v>Non-Compliant</v>
      </c>
      <c r="K345" s="1" t="str">
        <f t="shared" si="2"/>
        <v>Non-Incentive</v>
      </c>
      <c r="L345" s="1" t="str">
        <f t="shared" si="3"/>
        <v>TUG</v>
      </c>
      <c r="M345" s="1">
        <f t="shared" si="4"/>
        <v>3</v>
      </c>
      <c r="N345" s="1">
        <f t="shared" si="5"/>
        <v>2017</v>
      </c>
    </row>
    <row r="346" ht="15.75" customHeight="1">
      <c r="A346" s="1" t="s">
        <v>14</v>
      </c>
      <c r="B346" s="1">
        <v>1789517.0</v>
      </c>
      <c r="C346" s="1" t="s">
        <v>1639</v>
      </c>
      <c r="D346" s="1" t="s">
        <v>1659</v>
      </c>
      <c r="E346" s="1" t="s">
        <v>1660</v>
      </c>
      <c r="F346" s="1" t="s">
        <v>1661</v>
      </c>
      <c r="G346" s="1" t="s">
        <v>19</v>
      </c>
      <c r="H346" s="1" t="s">
        <v>1662</v>
      </c>
      <c r="I346" s="1" t="s">
        <v>32</v>
      </c>
      <c r="J346" s="1" t="str">
        <f t="shared" si="1"/>
        <v>Non-Compliant</v>
      </c>
      <c r="K346" s="1" t="str">
        <f t="shared" si="2"/>
        <v>Non-Incentive</v>
      </c>
      <c r="L346" s="1" t="str">
        <f t="shared" si="3"/>
        <v>TUG</v>
      </c>
      <c r="M346" s="1">
        <f t="shared" si="4"/>
        <v>3</v>
      </c>
      <c r="N346" s="1">
        <f t="shared" si="5"/>
        <v>2017</v>
      </c>
    </row>
    <row r="347" ht="15.75" customHeight="1">
      <c r="A347" s="1" t="s">
        <v>14</v>
      </c>
      <c r="B347" s="1">
        <v>1808535.0</v>
      </c>
      <c r="C347" s="1" t="s">
        <v>1663</v>
      </c>
      <c r="D347" s="1" t="s">
        <v>1664</v>
      </c>
      <c r="E347" s="1" t="s">
        <v>1665</v>
      </c>
      <c r="F347" s="1" t="s">
        <v>1666</v>
      </c>
      <c r="G347" s="1" t="s">
        <v>37</v>
      </c>
      <c r="H347" s="1" t="s">
        <v>1667</v>
      </c>
      <c r="I347" s="1" t="s">
        <v>1644</v>
      </c>
      <c r="J347" s="1" t="str">
        <f t="shared" si="1"/>
        <v>Non-Compliant</v>
      </c>
      <c r="K347" s="1" t="str">
        <f t="shared" si="2"/>
        <v>Non-Incentive</v>
      </c>
      <c r="L347" s="1" t="str">
        <f t="shared" si="3"/>
        <v>TUG</v>
      </c>
      <c r="M347" s="1">
        <f t="shared" si="4"/>
        <v>3</v>
      </c>
      <c r="N347" s="1">
        <f t="shared" si="5"/>
        <v>2017</v>
      </c>
    </row>
    <row r="348" ht="15.75" customHeight="1">
      <c r="A348" s="1" t="s">
        <v>14</v>
      </c>
      <c r="B348" s="1">
        <v>1852350.0</v>
      </c>
      <c r="C348" s="1" t="s">
        <v>1683</v>
      </c>
      <c r="D348" s="1" t="s">
        <v>1689</v>
      </c>
      <c r="E348" s="1" t="s">
        <v>1665</v>
      </c>
      <c r="F348" s="1" t="s">
        <v>1690</v>
      </c>
      <c r="G348" s="1" t="s">
        <v>37</v>
      </c>
      <c r="H348" s="1" t="s">
        <v>1691</v>
      </c>
      <c r="I348" s="1" t="s">
        <v>1692</v>
      </c>
      <c r="J348" s="1" t="str">
        <f t="shared" si="1"/>
        <v>Non-Compliant</v>
      </c>
      <c r="K348" s="1" t="str">
        <f t="shared" si="2"/>
        <v>Non-Incentive</v>
      </c>
      <c r="L348" s="1" t="str">
        <f t="shared" si="3"/>
        <v>TUG</v>
      </c>
      <c r="M348" s="1">
        <f t="shared" si="4"/>
        <v>3</v>
      </c>
      <c r="N348" s="1">
        <f t="shared" si="5"/>
        <v>2017</v>
      </c>
    </row>
    <row r="349" ht="15.75" customHeight="1">
      <c r="A349" s="1" t="s">
        <v>14</v>
      </c>
      <c r="B349" s="1">
        <v>7642279.0</v>
      </c>
      <c r="C349" s="1" t="s">
        <v>44</v>
      </c>
      <c r="D349" s="1" t="s">
        <v>65</v>
      </c>
      <c r="E349" s="1" t="s">
        <v>55</v>
      </c>
      <c r="F349" s="1" t="s">
        <v>66</v>
      </c>
      <c r="G349" s="1" t="s">
        <v>19</v>
      </c>
      <c r="H349" s="1" t="s">
        <v>67</v>
      </c>
      <c r="I349" s="1" t="s">
        <v>62</v>
      </c>
      <c r="J349" s="1" t="str">
        <f t="shared" si="1"/>
        <v>Non-Compliant</v>
      </c>
      <c r="K349" s="1" t="str">
        <f t="shared" si="2"/>
        <v>Non-Incentive</v>
      </c>
      <c r="L349" s="1" t="str">
        <f t="shared" si="3"/>
        <v>TUG</v>
      </c>
      <c r="M349" s="1">
        <f t="shared" si="4"/>
        <v>3</v>
      </c>
      <c r="N349" s="1">
        <f t="shared" si="5"/>
        <v>2017</v>
      </c>
    </row>
    <row r="350" ht="15.75" customHeight="1">
      <c r="A350" s="1" t="s">
        <v>14</v>
      </c>
      <c r="B350" s="1">
        <v>7640213.0</v>
      </c>
      <c r="C350" s="1" t="s">
        <v>44</v>
      </c>
      <c r="D350" s="1" t="s">
        <v>54</v>
      </c>
      <c r="E350" s="1" t="s">
        <v>55</v>
      </c>
      <c r="F350" s="1" t="s">
        <v>56</v>
      </c>
      <c r="G350" s="1" t="s">
        <v>19</v>
      </c>
      <c r="H350" s="1" t="s">
        <v>57</v>
      </c>
      <c r="I350" s="1" t="s">
        <v>58</v>
      </c>
      <c r="J350" s="1" t="str">
        <f t="shared" si="1"/>
        <v>Non-Compliant</v>
      </c>
      <c r="K350" s="1" t="str">
        <f t="shared" si="2"/>
        <v>Non-Incentive</v>
      </c>
      <c r="L350" s="1" t="str">
        <f t="shared" si="3"/>
        <v>TUG</v>
      </c>
      <c r="M350" s="1">
        <f t="shared" si="4"/>
        <v>3</v>
      </c>
      <c r="N350" s="1">
        <f t="shared" si="5"/>
        <v>2017</v>
      </c>
    </row>
    <row r="351" ht="15.75" customHeight="1">
      <c r="A351" s="1" t="s">
        <v>14</v>
      </c>
      <c r="B351" s="1">
        <v>7641404.0</v>
      </c>
      <c r="C351" s="1" t="s">
        <v>44</v>
      </c>
      <c r="D351" s="1" t="s">
        <v>59</v>
      </c>
      <c r="E351" s="1" t="s">
        <v>55</v>
      </c>
      <c r="F351" s="1" t="s">
        <v>60</v>
      </c>
      <c r="G351" s="1" t="s">
        <v>19</v>
      </c>
      <c r="H351" s="1" t="s">
        <v>61</v>
      </c>
      <c r="I351" s="1" t="s">
        <v>62</v>
      </c>
      <c r="J351" s="1" t="str">
        <f t="shared" si="1"/>
        <v>Non-Compliant</v>
      </c>
      <c r="K351" s="1" t="str">
        <f t="shared" si="2"/>
        <v>Non-Incentive</v>
      </c>
      <c r="L351" s="1" t="str">
        <f t="shared" si="3"/>
        <v>TUG</v>
      </c>
      <c r="M351" s="1">
        <f t="shared" si="4"/>
        <v>3</v>
      </c>
      <c r="N351" s="1">
        <f t="shared" si="5"/>
        <v>2017</v>
      </c>
    </row>
    <row r="352" ht="15.75" customHeight="1">
      <c r="A352" s="1" t="s">
        <v>14</v>
      </c>
      <c r="B352" s="1">
        <v>7641415.0</v>
      </c>
      <c r="C352" s="1" t="s">
        <v>44</v>
      </c>
      <c r="D352" s="1" t="s">
        <v>63</v>
      </c>
      <c r="E352" s="1" t="s">
        <v>55</v>
      </c>
      <c r="F352" s="1" t="s">
        <v>60</v>
      </c>
      <c r="G352" s="1" t="s">
        <v>19</v>
      </c>
      <c r="H352" s="1" t="s">
        <v>64</v>
      </c>
      <c r="I352" s="1" t="s">
        <v>62</v>
      </c>
      <c r="J352" s="1" t="str">
        <f t="shared" si="1"/>
        <v>Non-Compliant</v>
      </c>
      <c r="K352" s="1" t="str">
        <f t="shared" si="2"/>
        <v>Non-Incentive</v>
      </c>
      <c r="L352" s="1" t="str">
        <f t="shared" si="3"/>
        <v>TUG</v>
      </c>
      <c r="M352" s="1">
        <f t="shared" si="4"/>
        <v>3</v>
      </c>
      <c r="N352" s="1">
        <f t="shared" si="5"/>
        <v>2017</v>
      </c>
    </row>
    <row r="353" ht="15.75" customHeight="1">
      <c r="A353" s="1" t="s">
        <v>14</v>
      </c>
      <c r="B353" s="1">
        <v>1192194.0</v>
      </c>
      <c r="C353" s="1" t="s">
        <v>1304</v>
      </c>
      <c r="D353" s="1" t="s">
        <v>1310</v>
      </c>
      <c r="E353" s="1" t="s">
        <v>1311</v>
      </c>
      <c r="F353" s="1" t="s">
        <v>1312</v>
      </c>
      <c r="G353" s="1" t="s">
        <v>19</v>
      </c>
      <c r="H353" s="1" t="s">
        <v>1313</v>
      </c>
      <c r="I353" s="1" t="s">
        <v>1314</v>
      </c>
      <c r="J353" s="1" t="str">
        <f t="shared" si="1"/>
        <v>Non-Compliant</v>
      </c>
      <c r="K353" s="1" t="str">
        <f t="shared" si="2"/>
        <v>Non-Incentive</v>
      </c>
      <c r="L353" s="1" t="str">
        <f t="shared" si="3"/>
        <v>TUG</v>
      </c>
      <c r="M353" s="1">
        <f t="shared" si="4"/>
        <v>3</v>
      </c>
      <c r="N353" s="1">
        <f t="shared" si="5"/>
        <v>2017</v>
      </c>
    </row>
    <row r="354" ht="15.75" customHeight="1">
      <c r="A354" s="1" t="s">
        <v>14</v>
      </c>
      <c r="B354" s="1">
        <v>8961510.0</v>
      </c>
      <c r="C354" s="1" t="s">
        <v>880</v>
      </c>
      <c r="D354" s="1" t="s">
        <v>881</v>
      </c>
      <c r="E354" s="1" t="s">
        <v>882</v>
      </c>
      <c r="F354" s="1" t="s">
        <v>883</v>
      </c>
      <c r="G354" s="1" t="s">
        <v>884</v>
      </c>
      <c r="H354" s="1" t="s">
        <v>885</v>
      </c>
      <c r="I354" s="1" t="s">
        <v>886</v>
      </c>
      <c r="J354" s="1" t="str">
        <f t="shared" si="1"/>
        <v>Non-Compliant</v>
      </c>
      <c r="K354" s="1" t="str">
        <f t="shared" si="2"/>
        <v>Non-Incentive</v>
      </c>
      <c r="L354" s="1" t="str">
        <f t="shared" si="3"/>
        <v>TUG</v>
      </c>
      <c r="M354" s="1">
        <f t="shared" si="4"/>
        <v>3</v>
      </c>
      <c r="N354" s="1">
        <f t="shared" si="5"/>
        <v>2017</v>
      </c>
    </row>
    <row r="355" ht="15.75" customHeight="1">
      <c r="A355" s="1" t="s">
        <v>14</v>
      </c>
      <c r="B355" s="1">
        <v>8898683.0</v>
      </c>
      <c r="C355" s="1" t="s">
        <v>841</v>
      </c>
      <c r="D355" s="1" t="s">
        <v>842</v>
      </c>
      <c r="E355" s="1" t="s">
        <v>843</v>
      </c>
      <c r="F355" s="1" t="s">
        <v>844</v>
      </c>
      <c r="G355" s="1" t="s">
        <v>19</v>
      </c>
      <c r="H355" s="1" t="s">
        <v>845</v>
      </c>
      <c r="I355" s="1" t="s">
        <v>846</v>
      </c>
      <c r="J355" s="1" t="str">
        <f t="shared" si="1"/>
        <v>Non-Compliant</v>
      </c>
      <c r="K355" s="1" t="str">
        <f t="shared" si="2"/>
        <v>Non-Incentive</v>
      </c>
      <c r="L355" s="1" t="str">
        <f t="shared" si="3"/>
        <v>TUG</v>
      </c>
      <c r="M355" s="1">
        <f t="shared" si="4"/>
        <v>3</v>
      </c>
      <c r="N355" s="1">
        <f t="shared" si="5"/>
        <v>2017</v>
      </c>
    </row>
    <row r="356" ht="15.75" customHeight="1">
      <c r="A356" s="1" t="s">
        <v>14</v>
      </c>
      <c r="B356" s="1">
        <v>8909116.0</v>
      </c>
      <c r="C356" s="1" t="s">
        <v>841</v>
      </c>
      <c r="D356" s="1" t="s">
        <v>847</v>
      </c>
      <c r="E356" s="1" t="s">
        <v>848</v>
      </c>
      <c r="F356" s="1" t="s">
        <v>849</v>
      </c>
      <c r="G356" s="1" t="s">
        <v>850</v>
      </c>
      <c r="H356" s="1" t="s">
        <v>851</v>
      </c>
      <c r="I356" s="1" t="s">
        <v>852</v>
      </c>
      <c r="J356" s="1" t="str">
        <f t="shared" si="1"/>
        <v>Non-Compliant</v>
      </c>
      <c r="K356" s="1" t="str">
        <f t="shared" si="2"/>
        <v>Non-Incentive</v>
      </c>
      <c r="L356" s="1" t="str">
        <f t="shared" si="3"/>
        <v>TUG</v>
      </c>
      <c r="M356" s="1">
        <f t="shared" si="4"/>
        <v>3</v>
      </c>
      <c r="N356" s="1">
        <f t="shared" si="5"/>
        <v>2017</v>
      </c>
    </row>
    <row r="357" ht="15.75" customHeight="1">
      <c r="A357" s="1" t="s">
        <v>14</v>
      </c>
      <c r="B357" s="1">
        <v>8909119.0</v>
      </c>
      <c r="C357" s="1" t="s">
        <v>841</v>
      </c>
      <c r="D357" s="1" t="s">
        <v>853</v>
      </c>
      <c r="E357" s="1" t="s">
        <v>848</v>
      </c>
      <c r="F357" s="1" t="s">
        <v>849</v>
      </c>
      <c r="G357" s="1" t="s">
        <v>854</v>
      </c>
      <c r="H357" s="1" t="s">
        <v>855</v>
      </c>
      <c r="I357" s="1" t="s">
        <v>852</v>
      </c>
      <c r="J357" s="1" t="str">
        <f t="shared" si="1"/>
        <v>Non-Compliant</v>
      </c>
      <c r="K357" s="1" t="str">
        <f t="shared" si="2"/>
        <v>Non-Incentive</v>
      </c>
      <c r="L357" s="1" t="str">
        <f t="shared" si="3"/>
        <v>TUG</v>
      </c>
      <c r="M357" s="1">
        <f t="shared" si="4"/>
        <v>3</v>
      </c>
      <c r="N357" s="1">
        <f t="shared" si="5"/>
        <v>2017</v>
      </c>
    </row>
    <row r="358" ht="15.75" customHeight="1">
      <c r="A358" s="1" t="s">
        <v>14</v>
      </c>
      <c r="B358" s="1">
        <v>8909141.0</v>
      </c>
      <c r="C358" s="1" t="s">
        <v>841</v>
      </c>
      <c r="D358" s="1" t="s">
        <v>856</v>
      </c>
      <c r="E358" s="1" t="s">
        <v>848</v>
      </c>
      <c r="F358" s="1" t="s">
        <v>849</v>
      </c>
      <c r="G358" s="1" t="s">
        <v>850</v>
      </c>
      <c r="H358" s="1" t="s">
        <v>851</v>
      </c>
      <c r="I358" s="1" t="s">
        <v>852</v>
      </c>
      <c r="J358" s="1" t="str">
        <f t="shared" si="1"/>
        <v>Non-Compliant</v>
      </c>
      <c r="K358" s="1" t="str">
        <f t="shared" si="2"/>
        <v>Non-Incentive</v>
      </c>
      <c r="L358" s="1" t="str">
        <f t="shared" si="3"/>
        <v>TUG</v>
      </c>
      <c r="M358" s="1">
        <f t="shared" si="4"/>
        <v>3</v>
      </c>
      <c r="N358" s="1">
        <f t="shared" si="5"/>
        <v>2017</v>
      </c>
    </row>
    <row r="359" ht="15.75" customHeight="1">
      <c r="A359" s="1" t="s">
        <v>14</v>
      </c>
      <c r="B359" s="1">
        <v>8909143.0</v>
      </c>
      <c r="C359" s="1" t="s">
        <v>841</v>
      </c>
      <c r="D359" s="1" t="s">
        <v>857</v>
      </c>
      <c r="E359" s="1" t="s">
        <v>848</v>
      </c>
      <c r="F359" s="1" t="s">
        <v>849</v>
      </c>
      <c r="G359" s="1" t="s">
        <v>850</v>
      </c>
      <c r="H359" s="1" t="s">
        <v>851</v>
      </c>
      <c r="I359" s="1" t="s">
        <v>852</v>
      </c>
      <c r="J359" s="1" t="str">
        <f t="shared" si="1"/>
        <v>Non-Compliant</v>
      </c>
      <c r="K359" s="1" t="str">
        <f t="shared" si="2"/>
        <v>Non-Incentive</v>
      </c>
      <c r="L359" s="1" t="str">
        <f t="shared" si="3"/>
        <v>TUG</v>
      </c>
      <c r="M359" s="1">
        <f t="shared" si="4"/>
        <v>3</v>
      </c>
      <c r="N359" s="1">
        <f t="shared" si="5"/>
        <v>2017</v>
      </c>
    </row>
    <row r="360" ht="15.75" customHeight="1">
      <c r="A360" s="1" t="s">
        <v>14</v>
      </c>
      <c r="B360" s="1">
        <v>8909148.0</v>
      </c>
      <c r="C360" s="1" t="s">
        <v>841</v>
      </c>
      <c r="D360" s="1" t="s">
        <v>858</v>
      </c>
      <c r="E360" s="1" t="s">
        <v>848</v>
      </c>
      <c r="F360" s="1" t="s">
        <v>849</v>
      </c>
      <c r="G360" s="1" t="s">
        <v>859</v>
      </c>
      <c r="H360" s="1" t="s">
        <v>860</v>
      </c>
      <c r="I360" s="1" t="s">
        <v>852</v>
      </c>
      <c r="J360" s="1" t="str">
        <f t="shared" si="1"/>
        <v>Non-Compliant</v>
      </c>
      <c r="K360" s="1" t="str">
        <f t="shared" si="2"/>
        <v>Non-Incentive</v>
      </c>
      <c r="L360" s="1" t="str">
        <f t="shared" si="3"/>
        <v>TUG</v>
      </c>
      <c r="M360" s="1">
        <f t="shared" si="4"/>
        <v>3</v>
      </c>
      <c r="N360" s="1">
        <f t="shared" si="5"/>
        <v>2017</v>
      </c>
    </row>
    <row r="361" ht="15.75" customHeight="1">
      <c r="A361" s="1" t="s">
        <v>14</v>
      </c>
      <c r="B361" s="1">
        <v>8910761.0</v>
      </c>
      <c r="C361" s="1" t="s">
        <v>841</v>
      </c>
      <c r="D361" s="1" t="s">
        <v>861</v>
      </c>
      <c r="E361" s="1" t="s">
        <v>848</v>
      </c>
      <c r="F361" s="1" t="s">
        <v>849</v>
      </c>
      <c r="G361" s="1" t="s">
        <v>850</v>
      </c>
      <c r="H361" s="1" t="s">
        <v>851</v>
      </c>
      <c r="I361" s="1" t="s">
        <v>852</v>
      </c>
      <c r="J361" s="1" t="str">
        <f t="shared" si="1"/>
        <v>Non-Compliant</v>
      </c>
      <c r="K361" s="1" t="str">
        <f t="shared" si="2"/>
        <v>Non-Incentive</v>
      </c>
      <c r="L361" s="1" t="str">
        <f t="shared" si="3"/>
        <v>TUG</v>
      </c>
      <c r="M361" s="1">
        <f t="shared" si="4"/>
        <v>3</v>
      </c>
      <c r="N361" s="1">
        <f t="shared" si="5"/>
        <v>2017</v>
      </c>
    </row>
    <row r="362" ht="15.75" customHeight="1">
      <c r="A362" s="1" t="s">
        <v>14</v>
      </c>
      <c r="B362" s="1">
        <v>8249349.0</v>
      </c>
      <c r="C362" s="1" t="s">
        <v>473</v>
      </c>
      <c r="D362" s="1" t="s">
        <v>478</v>
      </c>
      <c r="E362" s="1" t="s">
        <v>479</v>
      </c>
      <c r="F362" s="1" t="s">
        <v>480</v>
      </c>
      <c r="G362" s="1" t="s">
        <v>19</v>
      </c>
      <c r="H362" s="1" t="s">
        <v>481</v>
      </c>
      <c r="I362" s="1" t="s">
        <v>32</v>
      </c>
      <c r="J362" s="1" t="str">
        <f t="shared" si="1"/>
        <v>Non-Compliant</v>
      </c>
      <c r="K362" s="1" t="str">
        <f t="shared" si="2"/>
        <v>Non-Incentive</v>
      </c>
      <c r="L362" s="1" t="str">
        <f t="shared" si="3"/>
        <v>TUG</v>
      </c>
      <c r="M362" s="1">
        <f t="shared" si="4"/>
        <v>3</v>
      </c>
      <c r="N362" s="1">
        <f t="shared" si="5"/>
        <v>2017</v>
      </c>
    </row>
    <row r="363" ht="15.75" customHeight="1">
      <c r="A363" s="1" t="s">
        <v>14</v>
      </c>
      <c r="B363" s="1">
        <v>8288523.0</v>
      </c>
      <c r="C363" s="1" t="s">
        <v>485</v>
      </c>
      <c r="D363" s="1" t="s">
        <v>486</v>
      </c>
      <c r="E363" s="1" t="s">
        <v>479</v>
      </c>
      <c r="F363" s="1" t="s">
        <v>487</v>
      </c>
      <c r="G363" s="1" t="s">
        <v>488</v>
      </c>
      <c r="H363" s="1" t="s">
        <v>489</v>
      </c>
      <c r="I363" s="1" t="s">
        <v>462</v>
      </c>
      <c r="J363" s="1" t="str">
        <f t="shared" si="1"/>
        <v>Non-Compliant</v>
      </c>
      <c r="K363" s="1" t="str">
        <f t="shared" si="2"/>
        <v>Non-Incentive</v>
      </c>
      <c r="L363" s="1" t="str">
        <f t="shared" si="3"/>
        <v>TUG</v>
      </c>
      <c r="M363" s="1">
        <f t="shared" si="4"/>
        <v>3</v>
      </c>
      <c r="N363" s="1">
        <f t="shared" si="5"/>
        <v>2017</v>
      </c>
    </row>
    <row r="364" ht="15.75" customHeight="1">
      <c r="A364" s="1" t="s">
        <v>14</v>
      </c>
      <c r="B364" s="1">
        <v>8290768.0</v>
      </c>
      <c r="C364" s="1" t="s">
        <v>485</v>
      </c>
      <c r="D364" s="1" t="s">
        <v>490</v>
      </c>
      <c r="E364" s="1" t="s">
        <v>479</v>
      </c>
      <c r="F364" s="1" t="s">
        <v>491</v>
      </c>
      <c r="G364" s="1" t="s">
        <v>492</v>
      </c>
      <c r="H364" s="1" t="s">
        <v>493</v>
      </c>
      <c r="I364" s="1" t="s">
        <v>462</v>
      </c>
      <c r="J364" s="1" t="str">
        <f t="shared" si="1"/>
        <v>Non-Compliant</v>
      </c>
      <c r="K364" s="1" t="str">
        <f t="shared" si="2"/>
        <v>Non-Incentive</v>
      </c>
      <c r="L364" s="1" t="str">
        <f t="shared" si="3"/>
        <v>TUG</v>
      </c>
      <c r="M364" s="1">
        <f t="shared" si="4"/>
        <v>3</v>
      </c>
      <c r="N364" s="1">
        <f t="shared" si="5"/>
        <v>2017</v>
      </c>
    </row>
    <row r="365" ht="15.75" customHeight="1">
      <c r="A365" s="1" t="s">
        <v>14</v>
      </c>
      <c r="B365" s="1">
        <v>8290787.0</v>
      </c>
      <c r="C365" s="1" t="s">
        <v>485</v>
      </c>
      <c r="D365" s="1" t="s">
        <v>494</v>
      </c>
      <c r="E365" s="1" t="s">
        <v>479</v>
      </c>
      <c r="F365" s="1" t="s">
        <v>491</v>
      </c>
      <c r="G365" s="1" t="s">
        <v>492</v>
      </c>
      <c r="H365" s="1" t="s">
        <v>493</v>
      </c>
      <c r="I365" s="1" t="s">
        <v>462</v>
      </c>
      <c r="J365" s="1" t="str">
        <f t="shared" si="1"/>
        <v>Non-Compliant</v>
      </c>
      <c r="K365" s="1" t="str">
        <f t="shared" si="2"/>
        <v>Non-Incentive</v>
      </c>
      <c r="L365" s="1" t="str">
        <f t="shared" si="3"/>
        <v>TUG</v>
      </c>
      <c r="M365" s="1">
        <f t="shared" si="4"/>
        <v>3</v>
      </c>
      <c r="N365" s="1">
        <f t="shared" si="5"/>
        <v>2017</v>
      </c>
    </row>
    <row r="366" ht="15.75" customHeight="1">
      <c r="A366" s="1" t="s">
        <v>14</v>
      </c>
      <c r="B366" s="1">
        <v>8263241.0</v>
      </c>
      <c r="C366" s="1" t="s">
        <v>473</v>
      </c>
      <c r="D366" s="1" t="s">
        <v>482</v>
      </c>
      <c r="E366" s="1" t="s">
        <v>479</v>
      </c>
      <c r="F366" s="1" t="s">
        <v>483</v>
      </c>
      <c r="G366" s="1" t="s">
        <v>19</v>
      </c>
      <c r="H366" s="1" t="s">
        <v>484</v>
      </c>
      <c r="I366" s="1" t="s">
        <v>32</v>
      </c>
      <c r="J366" s="1" t="str">
        <f t="shared" si="1"/>
        <v>Non-Compliant</v>
      </c>
      <c r="K366" s="1" t="str">
        <f t="shared" si="2"/>
        <v>Non-Incentive</v>
      </c>
      <c r="L366" s="1" t="str">
        <f t="shared" si="3"/>
        <v>TUG</v>
      </c>
      <c r="M366" s="1">
        <f t="shared" si="4"/>
        <v>3</v>
      </c>
      <c r="N366" s="1">
        <f t="shared" si="5"/>
        <v>2017</v>
      </c>
    </row>
    <row r="367" ht="15.75" customHeight="1">
      <c r="A367" s="1" t="s">
        <v>14</v>
      </c>
      <c r="B367" s="1">
        <v>1817413.0</v>
      </c>
      <c r="C367" s="1" t="s">
        <v>1663</v>
      </c>
      <c r="D367" s="1" t="s">
        <v>1677</v>
      </c>
      <c r="E367" s="1" t="s">
        <v>1649</v>
      </c>
      <c r="F367" s="1" t="s">
        <v>1678</v>
      </c>
      <c r="G367" s="1" t="s">
        <v>19</v>
      </c>
      <c r="H367" s="1" t="s">
        <v>1679</v>
      </c>
      <c r="I367" s="1" t="s">
        <v>1652</v>
      </c>
      <c r="J367" s="1" t="str">
        <f t="shared" si="1"/>
        <v>Non-Compliant</v>
      </c>
      <c r="K367" s="1" t="str">
        <f t="shared" si="2"/>
        <v>Non-Incentive</v>
      </c>
      <c r="L367" s="1" t="str">
        <f t="shared" si="3"/>
        <v>TUG</v>
      </c>
      <c r="M367" s="1">
        <f t="shared" si="4"/>
        <v>3</v>
      </c>
      <c r="N367" s="1">
        <f t="shared" si="5"/>
        <v>2017</v>
      </c>
    </row>
    <row r="368" ht="15.75" customHeight="1">
      <c r="A368" s="1" t="s">
        <v>14</v>
      </c>
      <c r="B368" s="1">
        <v>1779449.0</v>
      </c>
      <c r="C368" s="1" t="s">
        <v>1639</v>
      </c>
      <c r="D368" s="1" t="s">
        <v>1648</v>
      </c>
      <c r="E368" s="1" t="s">
        <v>1649</v>
      </c>
      <c r="F368" s="1" t="s">
        <v>1650</v>
      </c>
      <c r="G368" s="1" t="s">
        <v>19</v>
      </c>
      <c r="H368" s="1" t="s">
        <v>1651</v>
      </c>
      <c r="I368" s="1" t="s">
        <v>1652</v>
      </c>
      <c r="J368" s="1" t="str">
        <f t="shared" si="1"/>
        <v>Non-Compliant</v>
      </c>
      <c r="K368" s="1" t="str">
        <f t="shared" si="2"/>
        <v>Non-Incentive</v>
      </c>
      <c r="L368" s="1" t="str">
        <f t="shared" si="3"/>
        <v>TUG</v>
      </c>
      <c r="M368" s="1">
        <f t="shared" si="4"/>
        <v>3</v>
      </c>
      <c r="N368" s="1">
        <f t="shared" si="5"/>
        <v>2017</v>
      </c>
    </row>
    <row r="369" ht="15.75" customHeight="1">
      <c r="A369" s="1" t="s">
        <v>14</v>
      </c>
      <c r="B369" s="1">
        <v>1817472.0</v>
      </c>
      <c r="C369" s="1" t="s">
        <v>1663</v>
      </c>
      <c r="D369" s="1" t="s">
        <v>1680</v>
      </c>
      <c r="E369" s="1" t="s">
        <v>1649</v>
      </c>
      <c r="F369" s="1" t="s">
        <v>1681</v>
      </c>
      <c r="G369" s="1" t="s">
        <v>19</v>
      </c>
      <c r="H369" s="1" t="s">
        <v>1682</v>
      </c>
      <c r="I369" s="1" t="s">
        <v>1652</v>
      </c>
      <c r="J369" s="1" t="str">
        <f t="shared" si="1"/>
        <v>Non-Compliant</v>
      </c>
      <c r="K369" s="1" t="str">
        <f t="shared" si="2"/>
        <v>Non-Incentive</v>
      </c>
      <c r="L369" s="1" t="str">
        <f t="shared" si="3"/>
        <v>TUG</v>
      </c>
      <c r="M369" s="1">
        <f t="shared" si="4"/>
        <v>3</v>
      </c>
      <c r="N369" s="1">
        <f t="shared" si="5"/>
        <v>2017</v>
      </c>
    </row>
    <row r="370" ht="15.75" customHeight="1">
      <c r="A370" s="1" t="s">
        <v>14</v>
      </c>
      <c r="B370" s="1">
        <v>1866627.0</v>
      </c>
      <c r="C370" s="1" t="s">
        <v>1693</v>
      </c>
      <c r="D370" s="1" t="s">
        <v>1702</v>
      </c>
      <c r="E370" s="1" t="s">
        <v>1703</v>
      </c>
      <c r="F370" s="1" t="s">
        <v>1704</v>
      </c>
      <c r="G370" s="1" t="s">
        <v>19</v>
      </c>
      <c r="H370" s="1" t="s">
        <v>1705</v>
      </c>
      <c r="I370" s="1" t="s">
        <v>1706</v>
      </c>
      <c r="J370" s="1" t="str">
        <f t="shared" si="1"/>
        <v>Non-Compliant</v>
      </c>
      <c r="K370" s="1" t="str">
        <f t="shared" si="2"/>
        <v>Non-Incentive</v>
      </c>
      <c r="L370" s="1" t="str">
        <f t="shared" si="3"/>
        <v>TUG</v>
      </c>
      <c r="M370" s="1">
        <f t="shared" si="4"/>
        <v>3</v>
      </c>
      <c r="N370" s="1">
        <f t="shared" si="5"/>
        <v>2017</v>
      </c>
    </row>
    <row r="371" ht="15.75" customHeight="1">
      <c r="A371" s="1" t="s">
        <v>14</v>
      </c>
      <c r="B371" s="1">
        <v>1062588.0</v>
      </c>
      <c r="C371" s="1" t="s">
        <v>1257</v>
      </c>
      <c r="D371" s="1" t="s">
        <v>1263</v>
      </c>
      <c r="E371" s="1" t="s">
        <v>1264</v>
      </c>
      <c r="F371" s="1" t="s">
        <v>1265</v>
      </c>
      <c r="G371" s="1" t="s">
        <v>19</v>
      </c>
      <c r="H371" s="1" t="s">
        <v>1266</v>
      </c>
      <c r="I371" s="1" t="s">
        <v>1267</v>
      </c>
      <c r="J371" s="1" t="str">
        <f t="shared" si="1"/>
        <v>Non-Compliant</v>
      </c>
      <c r="K371" s="1" t="str">
        <f t="shared" si="2"/>
        <v>Non-Incentive</v>
      </c>
      <c r="L371" s="1" t="str">
        <f t="shared" si="3"/>
        <v>TUG</v>
      </c>
      <c r="M371" s="1">
        <f t="shared" si="4"/>
        <v>3</v>
      </c>
      <c r="N371" s="1">
        <f t="shared" si="5"/>
        <v>2017</v>
      </c>
    </row>
    <row r="372" ht="15.75" customHeight="1">
      <c r="A372" s="1" t="s">
        <v>14</v>
      </c>
      <c r="B372" s="1">
        <v>1181054.0</v>
      </c>
      <c r="C372" s="1" t="s">
        <v>1304</v>
      </c>
      <c r="D372" s="1" t="s">
        <v>1305</v>
      </c>
      <c r="E372" s="1" t="s">
        <v>1306</v>
      </c>
      <c r="F372" s="1" t="s">
        <v>1307</v>
      </c>
      <c r="G372" s="1" t="s">
        <v>19</v>
      </c>
      <c r="H372" s="1" t="s">
        <v>1308</v>
      </c>
      <c r="I372" s="1" t="s">
        <v>1309</v>
      </c>
      <c r="J372" s="1" t="str">
        <f t="shared" si="1"/>
        <v>Non-Compliant</v>
      </c>
      <c r="K372" s="1" t="str">
        <f t="shared" si="2"/>
        <v>Non-Incentive</v>
      </c>
      <c r="L372" s="1" t="str">
        <f t="shared" si="3"/>
        <v>TUG</v>
      </c>
      <c r="M372" s="1">
        <f t="shared" si="4"/>
        <v>3</v>
      </c>
      <c r="N372" s="1">
        <f t="shared" si="5"/>
        <v>2017</v>
      </c>
    </row>
    <row r="373" ht="15.75" customHeight="1">
      <c r="A373" s="1" t="s">
        <v>14</v>
      </c>
      <c r="B373" s="1">
        <v>9535945.0</v>
      </c>
      <c r="C373" s="1" t="s">
        <v>1078</v>
      </c>
      <c r="D373" s="1" t="s">
        <v>1089</v>
      </c>
      <c r="E373" s="1" t="s">
        <v>1030</v>
      </c>
      <c r="F373" s="1" t="s">
        <v>1090</v>
      </c>
      <c r="G373" s="1" t="s">
        <v>19</v>
      </c>
      <c r="H373" s="1" t="s">
        <v>1091</v>
      </c>
      <c r="I373" s="1" t="s">
        <v>1092</v>
      </c>
      <c r="J373" s="1" t="str">
        <f t="shared" si="1"/>
        <v>Non-Compliant</v>
      </c>
      <c r="K373" s="1" t="str">
        <f t="shared" si="2"/>
        <v>Non-Incentive</v>
      </c>
      <c r="L373" s="1" t="str">
        <f t="shared" si="3"/>
        <v>TUG</v>
      </c>
      <c r="M373" s="1">
        <f t="shared" si="4"/>
        <v>3</v>
      </c>
      <c r="N373" s="1">
        <f t="shared" si="5"/>
        <v>2017</v>
      </c>
    </row>
    <row r="374" ht="15.75" customHeight="1">
      <c r="A374" s="1" t="s">
        <v>14</v>
      </c>
      <c r="B374" s="1">
        <v>9323426.0</v>
      </c>
      <c r="C374" s="1" t="s">
        <v>1024</v>
      </c>
      <c r="D374" s="1" t="s">
        <v>1029</v>
      </c>
      <c r="E374" s="1" t="s">
        <v>1030</v>
      </c>
      <c r="F374" s="1" t="s">
        <v>1031</v>
      </c>
      <c r="G374" s="1" t="s">
        <v>19</v>
      </c>
      <c r="H374" s="1" t="s">
        <v>1032</v>
      </c>
      <c r="I374" s="1" t="s">
        <v>1033</v>
      </c>
      <c r="J374" s="1" t="str">
        <f t="shared" si="1"/>
        <v>Non-Compliant</v>
      </c>
      <c r="K374" s="1" t="str">
        <f t="shared" si="2"/>
        <v>Non-Incentive</v>
      </c>
      <c r="L374" s="1" t="str">
        <f t="shared" si="3"/>
        <v>TUG</v>
      </c>
      <c r="M374" s="1">
        <f t="shared" si="4"/>
        <v>3</v>
      </c>
      <c r="N374" s="1">
        <f t="shared" si="5"/>
        <v>2017</v>
      </c>
    </row>
    <row r="375" ht="15.75" customHeight="1">
      <c r="A375" s="1" t="s">
        <v>14</v>
      </c>
      <c r="B375" s="1">
        <v>9531547.0</v>
      </c>
      <c r="C375" s="1" t="s">
        <v>1078</v>
      </c>
      <c r="D375" s="1" t="s">
        <v>1084</v>
      </c>
      <c r="E375" s="1" t="s">
        <v>1085</v>
      </c>
      <c r="F375" s="1" t="s">
        <v>1086</v>
      </c>
      <c r="G375" s="1" t="s">
        <v>37</v>
      </c>
      <c r="H375" s="1" t="s">
        <v>1087</v>
      </c>
      <c r="I375" s="1" t="s">
        <v>1088</v>
      </c>
      <c r="J375" s="1" t="str">
        <f t="shared" si="1"/>
        <v>Non-Compliant</v>
      </c>
      <c r="K375" s="1" t="str">
        <f t="shared" si="2"/>
        <v>Non-Incentive</v>
      </c>
      <c r="L375" s="1" t="str">
        <f t="shared" si="3"/>
        <v>TUG</v>
      </c>
      <c r="M375" s="1">
        <f t="shared" si="4"/>
        <v>3</v>
      </c>
      <c r="N375" s="1">
        <f t="shared" si="5"/>
        <v>2017</v>
      </c>
    </row>
    <row r="376" ht="15.75" customHeight="1">
      <c r="A376" s="1" t="s">
        <v>14</v>
      </c>
      <c r="B376" s="1">
        <v>7649257.0</v>
      </c>
      <c r="C376" s="1" t="s">
        <v>68</v>
      </c>
      <c r="D376" s="1" t="s">
        <v>73</v>
      </c>
      <c r="E376" s="1" t="s">
        <v>74</v>
      </c>
      <c r="F376" s="1" t="s">
        <v>75</v>
      </c>
      <c r="G376" s="1" t="s">
        <v>19</v>
      </c>
      <c r="H376" s="1" t="s">
        <v>76</v>
      </c>
      <c r="I376" s="1" t="s">
        <v>43</v>
      </c>
      <c r="J376" s="1" t="str">
        <f t="shared" si="1"/>
        <v>Non-Compliant</v>
      </c>
      <c r="K376" s="1" t="str">
        <f t="shared" si="2"/>
        <v>Non-Incentive</v>
      </c>
      <c r="L376" s="1" t="str">
        <f t="shared" si="3"/>
        <v>TUG</v>
      </c>
      <c r="M376" s="1">
        <f t="shared" si="4"/>
        <v>3</v>
      </c>
      <c r="N376" s="1">
        <f t="shared" si="5"/>
        <v>2017</v>
      </c>
    </row>
    <row r="377" ht="15.75" customHeight="1">
      <c r="A377" s="1" t="s">
        <v>14</v>
      </c>
      <c r="B377" s="1">
        <v>7646561.0</v>
      </c>
      <c r="C377" s="1" t="s">
        <v>68</v>
      </c>
      <c r="D377" s="1" t="s">
        <v>69</v>
      </c>
      <c r="E377" s="1" t="s">
        <v>70</v>
      </c>
      <c r="F377" s="1" t="s">
        <v>71</v>
      </c>
      <c r="G377" s="1" t="s">
        <v>19</v>
      </c>
      <c r="H377" s="1" t="s">
        <v>72</v>
      </c>
      <c r="I377" s="1" t="s">
        <v>43</v>
      </c>
      <c r="J377" s="1" t="str">
        <f t="shared" si="1"/>
        <v>Non-Compliant</v>
      </c>
      <c r="K377" s="1" t="str">
        <f t="shared" si="2"/>
        <v>Non-Incentive</v>
      </c>
      <c r="L377" s="1" t="str">
        <f t="shared" si="3"/>
        <v>TUG</v>
      </c>
      <c r="M377" s="1">
        <f t="shared" si="4"/>
        <v>3</v>
      </c>
      <c r="N377" s="1">
        <f t="shared" si="5"/>
        <v>2017</v>
      </c>
    </row>
    <row r="378" ht="15.75" customHeight="1">
      <c r="A378" s="1" t="s">
        <v>14</v>
      </c>
      <c r="B378" s="1">
        <v>7638661.0</v>
      </c>
      <c r="C378" s="1" t="s">
        <v>44</v>
      </c>
      <c r="D378" s="1" t="s">
        <v>50</v>
      </c>
      <c r="E378" s="1" t="s">
        <v>51</v>
      </c>
      <c r="F378" s="1" t="s">
        <v>52</v>
      </c>
      <c r="G378" s="1" t="s">
        <v>37</v>
      </c>
      <c r="H378" s="1" t="s">
        <v>53</v>
      </c>
      <c r="I378" s="1" t="s">
        <v>32</v>
      </c>
      <c r="J378" s="1" t="str">
        <f t="shared" si="1"/>
        <v>Non-Compliant</v>
      </c>
      <c r="K378" s="1" t="str">
        <f t="shared" si="2"/>
        <v>Non-Incentive</v>
      </c>
      <c r="L378" s="1" t="str">
        <f t="shared" si="3"/>
        <v>TUG</v>
      </c>
      <c r="M378" s="1">
        <f t="shared" si="4"/>
        <v>3</v>
      </c>
      <c r="N378" s="1">
        <f t="shared" si="5"/>
        <v>2017</v>
      </c>
    </row>
    <row r="379" ht="15.75" customHeight="1">
      <c r="A379" s="1" t="s">
        <v>14</v>
      </c>
      <c r="B379" s="1">
        <v>8584007.0</v>
      </c>
      <c r="C379" s="1" t="s">
        <v>663</v>
      </c>
      <c r="D379" s="1" t="s">
        <v>679</v>
      </c>
      <c r="E379" s="1" t="s">
        <v>680</v>
      </c>
      <c r="F379" s="1" t="s">
        <v>661</v>
      </c>
      <c r="G379" s="1" t="s">
        <v>19</v>
      </c>
      <c r="H379" s="1" t="s">
        <v>681</v>
      </c>
      <c r="I379" s="1" t="s">
        <v>682</v>
      </c>
      <c r="J379" s="1" t="str">
        <f t="shared" si="1"/>
        <v>Non-Compliant</v>
      </c>
      <c r="K379" s="1" t="str">
        <f t="shared" si="2"/>
        <v>Non-Incentive</v>
      </c>
      <c r="L379" s="1" t="str">
        <f t="shared" si="3"/>
        <v>TUG</v>
      </c>
      <c r="M379" s="1">
        <f t="shared" si="4"/>
        <v>3</v>
      </c>
      <c r="N379" s="1">
        <f t="shared" si="5"/>
        <v>2017</v>
      </c>
    </row>
    <row r="380" ht="15.75" customHeight="1">
      <c r="A380" s="1" t="s">
        <v>14</v>
      </c>
      <c r="B380" s="1">
        <v>7909008.0</v>
      </c>
      <c r="C380" s="1" t="s">
        <v>227</v>
      </c>
      <c r="D380" s="1" t="s">
        <v>238</v>
      </c>
      <c r="E380" s="1" t="s">
        <v>239</v>
      </c>
      <c r="F380" s="1" t="s">
        <v>240</v>
      </c>
      <c r="G380" s="1" t="s">
        <v>19</v>
      </c>
      <c r="H380" s="1" t="s">
        <v>241</v>
      </c>
      <c r="I380" s="1" t="s">
        <v>242</v>
      </c>
      <c r="J380" s="1" t="str">
        <f t="shared" si="1"/>
        <v>Non-Compliant</v>
      </c>
      <c r="K380" s="1" t="str">
        <f t="shared" si="2"/>
        <v>Non-Incentive</v>
      </c>
      <c r="L380" s="1" t="str">
        <f t="shared" si="3"/>
        <v>TUG</v>
      </c>
      <c r="M380" s="1">
        <f t="shared" si="4"/>
        <v>3</v>
      </c>
      <c r="N380" s="1">
        <f t="shared" si="5"/>
        <v>2017</v>
      </c>
    </row>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8.63"/>
    <col customWidth="1" min="2" max="2" width="81.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00.25"/>
    <col customWidth="1" min="2" max="2" width="42.0"/>
    <col customWidth="1" min="3" max="3" width="24.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0.13"/>
    <col customWidth="1" min="2" max="2" width="87.63"/>
    <col customWidth="1" min="3" max="3" width="26.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sheetData>
  <drawing r:id="rId2"/>
</worksheet>
</file>